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Hidrojet_Dados_Medias_Analises\"/>
    </mc:Choice>
  </mc:AlternateContent>
  <xr:revisionPtr revIDLastSave="0" documentId="8_{3314896B-0926-46AC-A885-9A69A0836BE5}" xr6:coauthVersionLast="47" xr6:coauthVersionMax="47" xr10:uidLastSave="{00000000-0000-0000-0000-000000000000}"/>
  <bookViews>
    <workbookView xWindow="-15" yWindow="16080" windowWidth="29040" windowHeight="15720" xr2:uid="{00000000-000D-0000-FFFF-FFFF00000000}"/>
  </bookViews>
  <sheets>
    <sheet name="dados6" sheetId="1" r:id="rId1"/>
    <sheet name="Planilha1" sheetId="2" r:id="rId2"/>
  </sheets>
  <definedNames>
    <definedName name="_xlnm._FilterDatabase" localSheetId="0" hidden="1">dados6!$A$1:$AR$652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2" i="1"/>
</calcChain>
</file>

<file path=xl/sharedStrings.xml><?xml version="1.0" encoding="utf-8"?>
<sst xmlns="http://schemas.openxmlformats.org/spreadsheetml/2006/main" count="17015" uniqueCount="1965">
  <si>
    <t>ITEMPR_ID_ITEM</t>
  </si>
  <si>
    <t>ITEMPR_ID_BRT</t>
  </si>
  <si>
    <t>ITEM_ID_BRT</t>
  </si>
  <si>
    <t>ITEM</t>
  </si>
  <si>
    <t>ITEM_BRT</t>
  </si>
  <si>
    <t>COD_FERR</t>
  </si>
  <si>
    <t>PESO_LIQ_IT</t>
  </si>
  <si>
    <t>PESO_BRT_IT</t>
  </si>
  <si>
    <t>EMPR_PRO</t>
  </si>
  <si>
    <t>REND_METAL</t>
  </si>
  <si>
    <t>QTD_CAV</t>
  </si>
  <si>
    <t>PESO_CONJ</t>
  </si>
  <si>
    <t>ITEMPR_ID_LIGA</t>
  </si>
  <si>
    <t>LIGA</t>
  </si>
  <si>
    <t>CLIENTE</t>
  </si>
  <si>
    <t>SEGMENTO</t>
  </si>
  <si>
    <t>PESO_BRT_MACHO_SHELL</t>
  </si>
  <si>
    <t>PESO_BRT_MACHO_CBX</t>
  </si>
  <si>
    <t>CUSTO_ITEM</t>
  </si>
  <si>
    <t>CUSTO_BRUTO</t>
  </si>
  <si>
    <t>CUST_MATPRIMA_BRT</t>
  </si>
  <si>
    <t>CUST_ZINCO_ITEM</t>
  </si>
  <si>
    <t>TEMPO_REBARB_ITEM</t>
  </si>
  <si>
    <t>TEMPO_JAT_ITEM</t>
  </si>
  <si>
    <t>TEMPO_USIN_FURA_ROSQ_ITEM</t>
  </si>
  <si>
    <t>TEMPO_USIN_TN_TR_ITEM</t>
  </si>
  <si>
    <t>TEMPO_USIN_CENTROS_ITEM</t>
  </si>
  <si>
    <t>TEMPO_ZINC_ITEM</t>
  </si>
  <si>
    <t>TEMPO_FIBR_JTDIR_ITEM</t>
  </si>
  <si>
    <t>TEMPO_PINT_ITEM</t>
  </si>
  <si>
    <t>TEMPO_DISA</t>
  </si>
  <si>
    <t>TEMPO_COLDBOX</t>
  </si>
  <si>
    <t>TEMPO_REBARB_BRT</t>
  </si>
  <si>
    <t>TEMPO_JAT_BRT</t>
  </si>
  <si>
    <t>TEMPO_USIN_FURA_ROSQ_BRT</t>
  </si>
  <si>
    <t>TEMPO_USIN_TN_TR_BRT</t>
  </si>
  <si>
    <t>TEMPO_USIN_CENTROS_BRT</t>
  </si>
  <si>
    <t>TEMPO_ZINC_BRT</t>
  </si>
  <si>
    <t>TEMPO_FIBR_JTDIR_BRT</t>
  </si>
  <si>
    <t>TEMPO_PINT_BRT</t>
  </si>
  <si>
    <t>FERR</t>
  </si>
  <si>
    <t>ID_FERR</t>
  </si>
  <si>
    <t>MAQ</t>
  </si>
  <si>
    <t>A-16S-J</t>
  </si>
  <si>
    <t>A-16S-J-B</t>
  </si>
  <si>
    <t>50202</t>
  </si>
  <si>
    <t>801</t>
  </si>
  <si>
    <t>LIGA FERRO FUNDIDO NODULAR 60-40-18 N2</t>
  </si>
  <si>
    <t>NGK-LOCKE INC</t>
  </si>
  <si>
    <t>ENERGIA</t>
  </si>
  <si>
    <t/>
  </si>
  <si>
    <t>DISAMATIC</t>
  </si>
  <si>
    <t>A-16SJ-S</t>
  </si>
  <si>
    <t>A-16SJ-S-B</t>
  </si>
  <si>
    <t>50201</t>
  </si>
  <si>
    <t>B87332149</t>
  </si>
  <si>
    <t>B87332149-B</t>
  </si>
  <si>
    <t>50261</t>
  </si>
  <si>
    <t>LIGA FERRO FUNDIDO NODULAR 100-70-03 N7</t>
  </si>
  <si>
    <t>MICROINOX FUNDICAO DE PRECISAO  E USINAGEM LTDA (MATRIZ)</t>
  </si>
  <si>
    <t>GERAL</t>
  </si>
  <si>
    <t>87332149-B</t>
  </si>
  <si>
    <t>CD047423</t>
  </si>
  <si>
    <t>002004-B</t>
  </si>
  <si>
    <t>1027</t>
  </si>
  <si>
    <t>800</t>
  </si>
  <si>
    <t>LIGA FERRO FUNDIDO CINZENTO FC-250 FC-02</t>
  </si>
  <si>
    <t>DANFOSS POWER SOLUTIONS INDÚSTRIA  COMÉRCIO ELETRHIDRAULICA LTDA</t>
  </si>
  <si>
    <t>HIDRÁULICO</t>
  </si>
  <si>
    <t>CAIXA MOLDE COLD BOX 002004-B</t>
  </si>
  <si>
    <t>SC 01 - SOPRADORA GEVITEC DUBOX-D16</t>
  </si>
  <si>
    <t>CQ21495</t>
  </si>
  <si>
    <t>CQ21495-B</t>
  </si>
  <si>
    <t>80007</t>
  </si>
  <si>
    <t>LIGA FERRO FUNDIDO CINZENTO FC-250 C2</t>
  </si>
  <si>
    <t>CASTERTECH USINAGEM E TECNOLOGIA LTDA.</t>
  </si>
  <si>
    <t>AGRÍCOLA</t>
  </si>
  <si>
    <t>MOLDE CQ21495-B</t>
  </si>
  <si>
    <t>CSII-107</t>
  </si>
  <si>
    <t>CSII-107-B</t>
  </si>
  <si>
    <t>80067</t>
  </si>
  <si>
    <t>LIGA FERRO FUNDIDO NODULAR 65-45-12 N1</t>
  </si>
  <si>
    <t>PPC SANTANA EQUIPAMENTOS ELETRICOS LTDA</t>
  </si>
  <si>
    <t>MOLDE DISA CSII-107-B</t>
  </si>
  <si>
    <t>CSII-110 (M12)</t>
  </si>
  <si>
    <t>CSII-110-B</t>
  </si>
  <si>
    <t>30355</t>
  </si>
  <si>
    <t>CJ MOLDE DISA CSII-110-B</t>
  </si>
  <si>
    <t>CSJ-082</t>
  </si>
  <si>
    <t>CSJ-082-B</t>
  </si>
  <si>
    <t>547</t>
  </si>
  <si>
    <t>FENIX ISOLADORES E ACESSORIOS LTDA.</t>
  </si>
  <si>
    <t>CERAMICA SAO JOSE LTDA</t>
  </si>
  <si>
    <t>CSJ-082-A</t>
  </si>
  <si>
    <t>CSJ-082-A-B</t>
  </si>
  <si>
    <t>546</t>
  </si>
  <si>
    <t>CS140UN16AFN136GD30</t>
  </si>
  <si>
    <t>CS140UN16AFN136GD3-B</t>
  </si>
  <si>
    <t>80169</t>
  </si>
  <si>
    <t>LIGA FERRO FUNDIDO NODULAR 80-55-06 N4 - B4 N4</t>
  </si>
  <si>
    <t>SEDIVER USA INC</t>
  </si>
  <si>
    <t>MOLDE DISA CS140UN16AFN</t>
  </si>
  <si>
    <t>SEDIVER S.P.A.</t>
  </si>
  <si>
    <t>C105C138</t>
  </si>
  <si>
    <t>C105C138-B</t>
  </si>
  <si>
    <t>50301</t>
  </si>
  <si>
    <t>LIGA FERRO FUNDIDO NODULAR 80-55-06 N8</t>
  </si>
  <si>
    <t>C105C142</t>
  </si>
  <si>
    <t>C105C142-B</t>
  </si>
  <si>
    <t>50302</t>
  </si>
  <si>
    <t>DF0254554-50</t>
  </si>
  <si>
    <t>0254329/00-4-B</t>
  </si>
  <si>
    <t>1022</t>
  </si>
  <si>
    <t>PARKER HANNIFIN IND. E COM. LTDA</t>
  </si>
  <si>
    <t>CX MOLDE COLD BOX 0254329/00-4</t>
  </si>
  <si>
    <t>DO1WA5E01</t>
  </si>
  <si>
    <t>DO1WA5E01-B</t>
  </si>
  <si>
    <t>BP COMPONENTES HIDRAULICOS E MECANICOS LTDA</t>
  </si>
  <si>
    <t>50505</t>
  </si>
  <si>
    <t>LIGA FERRO FUNDIDO CINZENTO FC-300 FC-03</t>
  </si>
  <si>
    <t>MOLDE GEVITEC DO1WA5E01-B</t>
  </si>
  <si>
    <t>DO1WB4P01</t>
  </si>
  <si>
    <t>DO1WB4P01-B</t>
  </si>
  <si>
    <t>50497</t>
  </si>
  <si>
    <t>MOLDE GEVITEC DO1WB4P01-B</t>
  </si>
  <si>
    <t>DO1WB40-B</t>
  </si>
  <si>
    <t>DO1WE6504</t>
  </si>
  <si>
    <t>1WE6504-B</t>
  </si>
  <si>
    <t>1010</t>
  </si>
  <si>
    <t>CAIXA MOLDE 1WE6504-B</t>
  </si>
  <si>
    <t>DO1WF1001</t>
  </si>
  <si>
    <t>DR1WF1001-B</t>
  </si>
  <si>
    <t>1204</t>
  </si>
  <si>
    <t>CAIXA MOLDE 1WF1001</t>
  </si>
  <si>
    <t>DO1WP4P01-B</t>
  </si>
  <si>
    <t>DO1X401-B</t>
  </si>
  <si>
    <t>DO4WE65RR01</t>
  </si>
  <si>
    <t>DO4WF65RR02</t>
  </si>
  <si>
    <t>DR1E106</t>
  </si>
  <si>
    <t>DR1E106-B</t>
  </si>
  <si>
    <t>40209</t>
  </si>
  <si>
    <t>CAIXA DE MOLDE C. B. DO1E106-B</t>
  </si>
  <si>
    <t>DR1E206</t>
  </si>
  <si>
    <t>DR1E206-B</t>
  </si>
  <si>
    <t>40213</t>
  </si>
  <si>
    <t>CAIXA DE MOLDE C.B. DO1E206-B</t>
  </si>
  <si>
    <t>DR1E306</t>
  </si>
  <si>
    <t>DR1E306-B</t>
  </si>
  <si>
    <t>40219</t>
  </si>
  <si>
    <t>C.X. DE MOLDE C.B DO1E306-B</t>
  </si>
  <si>
    <t>DR1E406</t>
  </si>
  <si>
    <t>DR1E406-B</t>
  </si>
  <si>
    <t>50462</t>
  </si>
  <si>
    <t>CX. MOLDE COLD BOX DO1E406-B</t>
  </si>
  <si>
    <t>DR1E411-B</t>
  </si>
  <si>
    <t>DR1E506</t>
  </si>
  <si>
    <t>DR1E506-B</t>
  </si>
  <si>
    <t>50466</t>
  </si>
  <si>
    <t>CX. MOLDE C.B. DO1E506-B</t>
  </si>
  <si>
    <t>DR1E510</t>
  </si>
  <si>
    <t>DR1E510-B</t>
  </si>
  <si>
    <t>50488</t>
  </si>
  <si>
    <t>CAIXA MOLDE COLD BOX  DR1E510</t>
  </si>
  <si>
    <t>DR1E511</t>
  </si>
  <si>
    <t>DR1E511-B</t>
  </si>
  <si>
    <t>50486</t>
  </si>
  <si>
    <t>CAIXA MOLDE COLD BOX 1E1511</t>
  </si>
  <si>
    <t>DR1E606-B</t>
  </si>
  <si>
    <t>DR1N8</t>
  </si>
  <si>
    <t>DR1N8-B</t>
  </si>
  <si>
    <t>50509</t>
  </si>
  <si>
    <t>MOLDE GEVITEC DO1N8</t>
  </si>
  <si>
    <t>DR1P2</t>
  </si>
  <si>
    <t>DR1P2-B</t>
  </si>
  <si>
    <t>50520</t>
  </si>
  <si>
    <t>MOLDE DR1P2-B</t>
  </si>
  <si>
    <t>50523</t>
  </si>
  <si>
    <t>MACHO SHELL  DR1P2-B</t>
  </si>
  <si>
    <t>SC 02 - SOPRADORA IMF POWER CORE PC-30</t>
  </si>
  <si>
    <t>DR1R2</t>
  </si>
  <si>
    <t>DO1R2-B</t>
  </si>
  <si>
    <t>50382</t>
  </si>
  <si>
    <t>MOLDE COLD BOX DO1R2-B</t>
  </si>
  <si>
    <t>DR1WA6502</t>
  </si>
  <si>
    <t>DR1WA6502-B</t>
  </si>
  <si>
    <t>1051</t>
  </si>
  <si>
    <t>CAIXA MOLDE COLD BOX 1WA6502-B</t>
  </si>
  <si>
    <t>DR1WA6503</t>
  </si>
  <si>
    <t>DR1WA6503-B</t>
  </si>
  <si>
    <t>50564</t>
  </si>
  <si>
    <t>CX MOLDE DR1WA6503-B</t>
  </si>
  <si>
    <t>SC 03 - SOPRADORA GEVITEC DUBOX-D25</t>
  </si>
  <si>
    <t>DR1WB6702</t>
  </si>
  <si>
    <t>DR1WB6702-B</t>
  </si>
  <si>
    <t>50549</t>
  </si>
  <si>
    <t>LIGA FERRO FUNDIDO CINZENTO FC-310 FC-03</t>
  </si>
  <si>
    <t>CONJUTO MOLDE DR1WB6702-B</t>
  </si>
  <si>
    <t>DR1WC1003</t>
  </si>
  <si>
    <t>DR1WC1003-B</t>
  </si>
  <si>
    <t>50618</t>
  </si>
  <si>
    <t>CJ MOLDE CB DR1WC1003-B</t>
  </si>
  <si>
    <t>DR1WE1001</t>
  </si>
  <si>
    <t>DR1WE1001-B</t>
  </si>
  <si>
    <t>1205</t>
  </si>
  <si>
    <t>CAIXA MOLDE 1WE1001</t>
  </si>
  <si>
    <t>DR1WE5E03</t>
  </si>
  <si>
    <t>DR1WE5E03-B</t>
  </si>
  <si>
    <t>1011</t>
  </si>
  <si>
    <t>CX MOLDE COLD BOX DR1WE5E03</t>
  </si>
  <si>
    <t>DR1WE6510</t>
  </si>
  <si>
    <t>DR1WE6510-B</t>
  </si>
  <si>
    <t>1219</t>
  </si>
  <si>
    <t>CAIXA MOLDE DR1WE6510-B</t>
  </si>
  <si>
    <t>DR1WE6511</t>
  </si>
  <si>
    <t>DR1WE6511-B</t>
  </si>
  <si>
    <t>1338</t>
  </si>
  <si>
    <t>CAIXA MOLDE 1WE6511</t>
  </si>
  <si>
    <t>DR1WE6512</t>
  </si>
  <si>
    <t>DR1WE6512-B</t>
  </si>
  <si>
    <t>1335</t>
  </si>
  <si>
    <t>CAIXA MOLDE DR1WE6512</t>
  </si>
  <si>
    <t>DR1WE9201</t>
  </si>
  <si>
    <t>DR1WE9201-B</t>
  </si>
  <si>
    <t>1129</t>
  </si>
  <si>
    <t>CAIXA MOLDE 1WE9201-B</t>
  </si>
  <si>
    <t>DR1WF1001</t>
  </si>
  <si>
    <t>DR1X103</t>
  </si>
  <si>
    <t>DR1X103-B</t>
  </si>
  <si>
    <t>1053</t>
  </si>
  <si>
    <t>CAIXA MOLDE COLD BOX 1X103</t>
  </si>
  <si>
    <t>DR1X205</t>
  </si>
  <si>
    <t>DR1X205-B</t>
  </si>
  <si>
    <t>50593</t>
  </si>
  <si>
    <t>CAIXA MOLDE DR1X205-B</t>
  </si>
  <si>
    <t>DR1X303</t>
  </si>
  <si>
    <t>DR1X303-B</t>
  </si>
  <si>
    <t>973</t>
  </si>
  <si>
    <t>1X303-B</t>
  </si>
  <si>
    <t>DR1X511-B</t>
  </si>
  <si>
    <t>DR1ZG201</t>
  </si>
  <si>
    <t>DR1ZG201-B</t>
  </si>
  <si>
    <t>50567</t>
  </si>
  <si>
    <t>MOLDE DO1ZG201-B</t>
  </si>
  <si>
    <t>DR4E2EEEEEENNN002</t>
  </si>
  <si>
    <t>DR4WE65EE03</t>
  </si>
  <si>
    <t>DR4WE65JJ01</t>
  </si>
  <si>
    <t>DR4WE65JJ39</t>
  </si>
  <si>
    <t>DR4WE65RR02</t>
  </si>
  <si>
    <t>DR4WF65JJ30</t>
  </si>
  <si>
    <t>DT-3848</t>
  </si>
  <si>
    <t>DT-3848-B</t>
  </si>
  <si>
    <t>560</t>
  </si>
  <si>
    <t>INDUSTRIA ELETRICA MARANGONI MARETTI LTDA</t>
  </si>
  <si>
    <t>E-2302-M</t>
  </si>
  <si>
    <t>E-2302-M-B</t>
  </si>
  <si>
    <t>563</t>
  </si>
  <si>
    <t>LAPP INSULATORS LLC (LEROY)</t>
  </si>
  <si>
    <t>FD-440(M20)</t>
  </si>
  <si>
    <t>FD-440-B</t>
  </si>
  <si>
    <t>606</t>
  </si>
  <si>
    <t>MOLDE DISA FD-440-B</t>
  </si>
  <si>
    <t>FD-574</t>
  </si>
  <si>
    <t>FD-574-B</t>
  </si>
  <si>
    <t>80326</t>
  </si>
  <si>
    <t>CONJUNTO MOLDE FD-574-B</t>
  </si>
  <si>
    <t>FD-585</t>
  </si>
  <si>
    <t>FD-585-B</t>
  </si>
  <si>
    <t>80354</t>
  </si>
  <si>
    <t>CJ MOLDE DISA FD-585-B</t>
  </si>
  <si>
    <t>FD-601(M20)</t>
  </si>
  <si>
    <t>FD-601-B</t>
  </si>
  <si>
    <t>80353</t>
  </si>
  <si>
    <t>CJ MOLDE DISA FD-601-B</t>
  </si>
  <si>
    <t>FD-604 (M16X2)</t>
  </si>
  <si>
    <t>FD-604-B</t>
  </si>
  <si>
    <t>80322</t>
  </si>
  <si>
    <t>MOLDE DISA FD-604-B</t>
  </si>
  <si>
    <t>FD-604 (M20)</t>
  </si>
  <si>
    <t>FD-620(M16)</t>
  </si>
  <si>
    <t>FD-620-B</t>
  </si>
  <si>
    <t>80363</t>
  </si>
  <si>
    <t>CJ MOLDE DISA FD-620-B</t>
  </si>
  <si>
    <t>FD-671(3/4 +0.015)</t>
  </si>
  <si>
    <t>FD-671-B</t>
  </si>
  <si>
    <t>80351</t>
  </si>
  <si>
    <t>CJ MOLDE FD-671-B</t>
  </si>
  <si>
    <t>FE-0037(M8)</t>
  </si>
  <si>
    <t>FE-0037-B</t>
  </si>
  <si>
    <t>80337</t>
  </si>
  <si>
    <t>CERAMICA SANTA TEREZINHA S/A</t>
  </si>
  <si>
    <t>CONJUNTO MOLDE FE-0037-B</t>
  </si>
  <si>
    <t>FE-0052</t>
  </si>
  <si>
    <t>FE-0052-B</t>
  </si>
  <si>
    <t>50385</t>
  </si>
  <si>
    <t>MOLDE DISA FE-0052-B</t>
  </si>
  <si>
    <t>FE-0105</t>
  </si>
  <si>
    <t>201143-B</t>
  </si>
  <si>
    <t>80105</t>
  </si>
  <si>
    <t>MOLDE DISA 201143-B</t>
  </si>
  <si>
    <t>FE-0120</t>
  </si>
  <si>
    <t>FE-0120-B</t>
  </si>
  <si>
    <t>620</t>
  </si>
  <si>
    <t>FE-0122 (3/4+0.015)</t>
  </si>
  <si>
    <t>FE-0122-B</t>
  </si>
  <si>
    <t>50004</t>
  </si>
  <si>
    <t>CSJ-122-B</t>
  </si>
  <si>
    <t>FE-0126</t>
  </si>
  <si>
    <t>FE-0126-B</t>
  </si>
  <si>
    <t>622</t>
  </si>
  <si>
    <t>FE-0126-B / FE-0376-B</t>
  </si>
  <si>
    <t>FE-0145</t>
  </si>
  <si>
    <t>FE-0145-B</t>
  </si>
  <si>
    <t>624</t>
  </si>
  <si>
    <t>FE-0155 (M16)</t>
  </si>
  <si>
    <t>FE-0155-B</t>
  </si>
  <si>
    <t>80226</t>
  </si>
  <si>
    <t>FERRAMENTA CSJ-155-B</t>
  </si>
  <si>
    <t>WOLF MATERIAIS ELETRICOS EIRELI - EPP</t>
  </si>
  <si>
    <t>FE-0155(3/4+0.015)</t>
  </si>
  <si>
    <t>FE-0166 (M12)</t>
  </si>
  <si>
    <t>FE-0166-B</t>
  </si>
  <si>
    <t>80342</t>
  </si>
  <si>
    <t>CJ MOLDE DISA FE-0166-B</t>
  </si>
  <si>
    <t>FE-0262</t>
  </si>
  <si>
    <t>FE-0262-B</t>
  </si>
  <si>
    <t>50043</t>
  </si>
  <si>
    <t>FE-0266</t>
  </si>
  <si>
    <t>FE-0266-B</t>
  </si>
  <si>
    <t>50037</t>
  </si>
  <si>
    <t>FE-0395</t>
  </si>
  <si>
    <t>FE-0395-B</t>
  </si>
  <si>
    <t>50295</t>
  </si>
  <si>
    <t>FE-0503(M8)</t>
  </si>
  <si>
    <t>FF612.03.72</t>
  </si>
  <si>
    <t>FF612.03.72-B</t>
  </si>
  <si>
    <t>50527</t>
  </si>
  <si>
    <t>LIGA FERRO FUNDIDO CINZENTO FC-200 FC-01</t>
  </si>
  <si>
    <t>FUTURA FUNDIÇÃO LTDA.</t>
  </si>
  <si>
    <t>MOLDE FF612.03.72-B</t>
  </si>
  <si>
    <t>FS255-B-B</t>
  </si>
  <si>
    <t>HUSCO INTERNATIONAL (MAQUOKETA)</t>
  </si>
  <si>
    <t>HUSCO INTERNATIONAL (WHITEWATER)</t>
  </si>
  <si>
    <t>FS256-B-B</t>
  </si>
  <si>
    <t>FT105-A-B</t>
  </si>
  <si>
    <t>HUSCO HYDRAULICS PVT. LTD. (INDIA)</t>
  </si>
  <si>
    <t>FT105-B-B</t>
  </si>
  <si>
    <t>F-203 (1110)</t>
  </si>
  <si>
    <t>F-203 (1110)-B</t>
  </si>
  <si>
    <t>1044</t>
  </si>
  <si>
    <t>FREIOS CONTROIL LTDA</t>
  </si>
  <si>
    <t>AUTOMOTIVO</t>
  </si>
  <si>
    <t>CX MOLDE COLD BOX F-203-B</t>
  </si>
  <si>
    <t>F-206 (1112)</t>
  </si>
  <si>
    <t>F-206 (1112)-B</t>
  </si>
  <si>
    <t>50482</t>
  </si>
  <si>
    <t>CAIXA MOLDE F-206-B</t>
  </si>
  <si>
    <t>F-209 (1115)</t>
  </si>
  <si>
    <t>F-209 (1115)-B</t>
  </si>
  <si>
    <t>1043</t>
  </si>
  <si>
    <t>CX MOLDE COLD BOX F-209-B</t>
  </si>
  <si>
    <t>F-212 (1117)</t>
  </si>
  <si>
    <t>F-212 (1117)-B</t>
  </si>
  <si>
    <t>1042</t>
  </si>
  <si>
    <t>CX MOLDE COLD BOX  F-212-B</t>
  </si>
  <si>
    <t>F-216 (1120)</t>
  </si>
  <si>
    <t>F-216 (1120)-B</t>
  </si>
  <si>
    <t>1046</t>
  </si>
  <si>
    <t>CX  MOLDE COLD BOX F-216-B</t>
  </si>
  <si>
    <t>F-301881</t>
  </si>
  <si>
    <t>F-301881-B</t>
  </si>
  <si>
    <t>570</t>
  </si>
  <si>
    <t>F-313241</t>
  </si>
  <si>
    <t>F-313241-B</t>
  </si>
  <si>
    <t>50331</t>
  </si>
  <si>
    <t>PLACA DISA F-313421</t>
  </si>
  <si>
    <t>F-313426</t>
  </si>
  <si>
    <t>F-313426-B</t>
  </si>
  <si>
    <t>50336</t>
  </si>
  <si>
    <t>PLACA DISA F-313426</t>
  </si>
  <si>
    <t>F-313426-A</t>
  </si>
  <si>
    <t>F-313426-A-B</t>
  </si>
  <si>
    <t>50335</t>
  </si>
  <si>
    <t>PLACA DISA F-313426-A</t>
  </si>
  <si>
    <t>F-317 (139)</t>
  </si>
  <si>
    <t>F-317-B</t>
  </si>
  <si>
    <t>1045</t>
  </si>
  <si>
    <t>CX MOLDE COLD BOX F-317-B</t>
  </si>
  <si>
    <t>F-355 (175)</t>
  </si>
  <si>
    <t>F-355 (175)-B</t>
  </si>
  <si>
    <t>1040</t>
  </si>
  <si>
    <t>CX MOLDE COLD BOX F-355-B</t>
  </si>
  <si>
    <t>F-375 (195)</t>
  </si>
  <si>
    <t>F-375 (195)-B</t>
  </si>
  <si>
    <t>1194</t>
  </si>
  <si>
    <t>CAIXA MOLDE F-375-B</t>
  </si>
  <si>
    <t>F-43944</t>
  </si>
  <si>
    <t>F-43944-B</t>
  </si>
  <si>
    <t>153</t>
  </si>
  <si>
    <t>HJ RAN I</t>
  </si>
  <si>
    <t>HJ RAN 1</t>
  </si>
  <si>
    <t>152</t>
  </si>
  <si>
    <t>F-47736</t>
  </si>
  <si>
    <t>F-47736-B</t>
  </si>
  <si>
    <t>154</t>
  </si>
  <si>
    <t>155</t>
  </si>
  <si>
    <t>F-8287-M</t>
  </si>
  <si>
    <t>F-8287-M-B</t>
  </si>
  <si>
    <t>577</t>
  </si>
  <si>
    <t>HBC14942</t>
  </si>
  <si>
    <t>9304-265063-B</t>
  </si>
  <si>
    <t>HYDAC TECNOLOGIA LTDA</t>
  </si>
  <si>
    <t>1311</t>
  </si>
  <si>
    <t>CAIXA MOLDE 9304-265063-B</t>
  </si>
  <si>
    <t>9304-265062-B</t>
  </si>
  <si>
    <t>9304-265074-B</t>
  </si>
  <si>
    <t>HC5004CC-H12</t>
  </si>
  <si>
    <t>5004CC-H-B</t>
  </si>
  <si>
    <t>50456</t>
  </si>
  <si>
    <t>CAIXA MOLDE 5004CC-H-B</t>
  </si>
  <si>
    <t>HC5004CC-H9</t>
  </si>
  <si>
    <t>HC6005-NB2</t>
  </si>
  <si>
    <t>6005-NB-B</t>
  </si>
  <si>
    <t>1216</t>
  </si>
  <si>
    <t>CAIXA MOLDE 6005-NB2-B</t>
  </si>
  <si>
    <t>HC6005-NE1</t>
  </si>
  <si>
    <t>6005-NE-B</t>
  </si>
  <si>
    <t>50474</t>
  </si>
  <si>
    <t>CX MOLDE COLD BOX 6005-NE-B</t>
  </si>
  <si>
    <t>H213507</t>
  </si>
  <si>
    <t>H213507-B</t>
  </si>
  <si>
    <t>80345</t>
  </si>
  <si>
    <t>INDUSTRIAL ENGTECH MARMONTEL LTDA</t>
  </si>
  <si>
    <t>CONJUNTO MOLDE DISA H213507-B</t>
  </si>
  <si>
    <t>H226362</t>
  </si>
  <si>
    <t>H226362-B</t>
  </si>
  <si>
    <t>50459</t>
  </si>
  <si>
    <t>LIGA FERRO FUNDIDO NODULAR 80-55-06 N4</t>
  </si>
  <si>
    <t>MOLDE DISA H226362-B</t>
  </si>
  <si>
    <t>IZ-002</t>
  </si>
  <si>
    <t>IZ-002-B</t>
  </si>
  <si>
    <t>80291</t>
  </si>
  <si>
    <t>IZOLATEX LTDA</t>
  </si>
  <si>
    <t>CONJ. MOLDE IZ-002-B</t>
  </si>
  <si>
    <t>J-012711A</t>
  </si>
  <si>
    <t>J-012711A-B</t>
  </si>
  <si>
    <t>165</t>
  </si>
  <si>
    <t>HJ RAN 2</t>
  </si>
  <si>
    <t>164</t>
  </si>
  <si>
    <t>J-055494</t>
  </si>
  <si>
    <t>J-055494-B</t>
  </si>
  <si>
    <t>1003</t>
  </si>
  <si>
    <t>LAPP INSULATORS S.A. (ROMANIA)</t>
  </si>
  <si>
    <t>J-22922</t>
  </si>
  <si>
    <t>J-22922-B</t>
  </si>
  <si>
    <t>94</t>
  </si>
  <si>
    <t>J-301738</t>
  </si>
  <si>
    <t>J-301738-B</t>
  </si>
  <si>
    <t>964</t>
  </si>
  <si>
    <t>J-301740</t>
  </si>
  <si>
    <t>J-301740-B</t>
  </si>
  <si>
    <t>638</t>
  </si>
  <si>
    <t>J-301743</t>
  </si>
  <si>
    <t>J-301743-B</t>
  </si>
  <si>
    <t>641</t>
  </si>
  <si>
    <t>J-311466</t>
  </si>
  <si>
    <t>J-311466-B</t>
  </si>
  <si>
    <t>166</t>
  </si>
  <si>
    <t>167</t>
  </si>
  <si>
    <t>J-312960-A S/P</t>
  </si>
  <si>
    <t>J-312960-A-B</t>
  </si>
  <si>
    <t>168</t>
  </si>
  <si>
    <t>95</t>
  </si>
  <si>
    <t>J-314135</t>
  </si>
  <si>
    <t>J-314135-B</t>
  </si>
  <si>
    <t>50063</t>
  </si>
  <si>
    <t>J-314356</t>
  </si>
  <si>
    <t>J-314356-B</t>
  </si>
  <si>
    <t>643</t>
  </si>
  <si>
    <t>J-320039</t>
  </si>
  <si>
    <t>J-320039U-B</t>
  </si>
  <si>
    <t>56</t>
  </si>
  <si>
    <t>J-320039M</t>
  </si>
  <si>
    <t>J-48406</t>
  </si>
  <si>
    <t>J-48406-B</t>
  </si>
  <si>
    <t>57</t>
  </si>
  <si>
    <t>J-93432</t>
  </si>
  <si>
    <t>J-93432-B</t>
  </si>
  <si>
    <t>80308</t>
  </si>
  <si>
    <t>PLACA DISA J-93432-B</t>
  </si>
  <si>
    <t>J-98074</t>
  </si>
  <si>
    <t>J-98074-B</t>
  </si>
  <si>
    <t>648</t>
  </si>
  <si>
    <t>LA-201-1</t>
  </si>
  <si>
    <t>LA-201-1-B</t>
  </si>
  <si>
    <t>50180</t>
  </si>
  <si>
    <t>LA-202</t>
  </si>
  <si>
    <t>LA-202-B</t>
  </si>
  <si>
    <t>1076</t>
  </si>
  <si>
    <t>LB-122-A</t>
  </si>
  <si>
    <t>LB-122-A-B</t>
  </si>
  <si>
    <t>1016</t>
  </si>
  <si>
    <t>LB-131-A</t>
  </si>
  <si>
    <t>LB-131-A-B</t>
  </si>
  <si>
    <t>80083</t>
  </si>
  <si>
    <t>MOLDE DISA LB-131-A-B</t>
  </si>
  <si>
    <t>LB-133-A</t>
  </si>
  <si>
    <t>LB-133-A-B</t>
  </si>
  <si>
    <t>50395</t>
  </si>
  <si>
    <t>MOLDE DISA LB-133-A-B</t>
  </si>
  <si>
    <t>LB-221-A</t>
  </si>
  <si>
    <t>LB-221-A-B</t>
  </si>
  <si>
    <t>80219</t>
  </si>
  <si>
    <t>LB-224-A</t>
  </si>
  <si>
    <t>LB-224-A-B</t>
  </si>
  <si>
    <t>80174</t>
  </si>
  <si>
    <t>MOLDE DISA LB-224-A-B</t>
  </si>
  <si>
    <t>LB-225-A</t>
  </si>
  <si>
    <t>LB-225-A-B</t>
  </si>
  <si>
    <t>80081</t>
  </si>
  <si>
    <t>MOLDE DISA LB-225-A-B</t>
  </si>
  <si>
    <t>LB-241-AL</t>
  </si>
  <si>
    <t>LB-241-AL-B</t>
  </si>
  <si>
    <t>80121</t>
  </si>
  <si>
    <t>MOLDE DISA LB-241-AL-B</t>
  </si>
  <si>
    <t>LB-321-A</t>
  </si>
  <si>
    <t>LB-321-A-B</t>
  </si>
  <si>
    <t>61</t>
  </si>
  <si>
    <t>LB-323-A</t>
  </si>
  <si>
    <t>LB-323-A-B</t>
  </si>
  <si>
    <t>50087</t>
  </si>
  <si>
    <t>LB-323-A-B(LB325-A-B)</t>
  </si>
  <si>
    <t>LB-326-A</t>
  </si>
  <si>
    <t>LB-326-A-B</t>
  </si>
  <si>
    <t>80173</t>
  </si>
  <si>
    <t>LIGA FERRO FUNDIDO NODULAR 60-40-18 E 65-45-12 N6</t>
  </si>
  <si>
    <t>MOLDE DISA LB-326-A-B</t>
  </si>
  <si>
    <t>LB-421-A</t>
  </si>
  <si>
    <t>LB-421-A-B</t>
  </si>
  <si>
    <t>50232</t>
  </si>
  <si>
    <t>LB-425-A</t>
  </si>
  <si>
    <t>LB-425-A-B</t>
  </si>
  <si>
    <t>80101</t>
  </si>
  <si>
    <t>MOLDE DISA LB-425-A-B</t>
  </si>
  <si>
    <t>LB-426-A</t>
  </si>
  <si>
    <t>LB-426-A-B</t>
  </si>
  <si>
    <t>80431</t>
  </si>
  <si>
    <t>PLACA DISA LB-426-A-B</t>
  </si>
  <si>
    <t>LB-432-A</t>
  </si>
  <si>
    <t>LB-432-A-B</t>
  </si>
  <si>
    <t>63</t>
  </si>
  <si>
    <t>50332</t>
  </si>
  <si>
    <t>PLACA DISA LB-432-A</t>
  </si>
  <si>
    <t>LE-122-A</t>
  </si>
  <si>
    <t>LE-122-A-B</t>
  </si>
  <si>
    <t>64</t>
  </si>
  <si>
    <t>LE-124-A</t>
  </si>
  <si>
    <t>LE-124-A-B</t>
  </si>
  <si>
    <t>661</t>
  </si>
  <si>
    <t>LE-131-A</t>
  </si>
  <si>
    <t>LE-131-A-B</t>
  </si>
  <si>
    <t>80082</t>
  </si>
  <si>
    <t>MOLDE DISA LE-131-A</t>
  </si>
  <si>
    <t>LE-133-A</t>
  </si>
  <si>
    <t>LE-133-A-B</t>
  </si>
  <si>
    <t>50344</t>
  </si>
  <si>
    <t>LE-221-A</t>
  </si>
  <si>
    <t>LE-221-A-B</t>
  </si>
  <si>
    <t>844</t>
  </si>
  <si>
    <t>LE-223-A</t>
  </si>
  <si>
    <t>LE-223-A-B</t>
  </si>
  <si>
    <t>80079</t>
  </si>
  <si>
    <t>MOLDE DISA LE-223-A-B</t>
  </si>
  <si>
    <t>LE-224-A</t>
  </si>
  <si>
    <t>LE-224-A-B</t>
  </si>
  <si>
    <t>663</t>
  </si>
  <si>
    <t>LE-225-A</t>
  </si>
  <si>
    <t>LE-225-A-B</t>
  </si>
  <si>
    <t>1132</t>
  </si>
  <si>
    <t>LE-321-A</t>
  </si>
  <si>
    <t>LE-321-A-B</t>
  </si>
  <si>
    <t>1075</t>
  </si>
  <si>
    <t>LE-322-A</t>
  </si>
  <si>
    <t>LE-322-A-B</t>
  </si>
  <si>
    <t>50237</t>
  </si>
  <si>
    <t>LE-323-A</t>
  </si>
  <si>
    <t>LE-323-A-B</t>
  </si>
  <si>
    <t>50236</t>
  </si>
  <si>
    <t>LE-421-A</t>
  </si>
  <si>
    <t>LE-421-A-B</t>
  </si>
  <si>
    <t>50239</t>
  </si>
  <si>
    <t>LE-422-A</t>
  </si>
  <si>
    <t>LE-422-A-B</t>
  </si>
  <si>
    <t>40191</t>
  </si>
  <si>
    <t>BASE HORIZONTAL LE-422-A BRUTO</t>
  </si>
  <si>
    <t>L-308414</t>
  </si>
  <si>
    <t>L-308414-B</t>
  </si>
  <si>
    <t>653</t>
  </si>
  <si>
    <t>L-53705</t>
  </si>
  <si>
    <t>L-53705-B</t>
  </si>
  <si>
    <t>655</t>
  </si>
  <si>
    <t>PG/208/072FB</t>
  </si>
  <si>
    <t>PG/208/072-B</t>
  </si>
  <si>
    <t>1029</t>
  </si>
  <si>
    <t>LIGA FERRO FUNDIDO NODULAR 60-42-10 FN-02</t>
  </si>
  <si>
    <t>CONTINENTAL DO BRASIL PRODUTOS AUTOMOTIVOS LTDA</t>
  </si>
  <si>
    <t>CX MOLDE COLD BOX PG/208/072-B</t>
  </si>
  <si>
    <t>CONTITECH DO BRASIL PRODUTOS AUTOMOTIVOS E INDUSTRIAIS LTDA</t>
  </si>
  <si>
    <t>OESL AUTOMOTIVE BRASIL</t>
  </si>
  <si>
    <t>PSPFTG5001</t>
  </si>
  <si>
    <t>PSPFTG5001-B</t>
  </si>
  <si>
    <t>50091</t>
  </si>
  <si>
    <t>HUBBELL POWER SYSTEMS, INC. (AIKEN)</t>
  </si>
  <si>
    <t>PSPITPRIGID024001</t>
  </si>
  <si>
    <t>PSPITPRIGID024001-B</t>
  </si>
  <si>
    <t>80106</t>
  </si>
  <si>
    <t>HUBBELL POWER SYSTEMS - JUAREZ PLANT 1</t>
  </si>
  <si>
    <t>MOLDE DISA PSPITPRIGID024001-B</t>
  </si>
  <si>
    <t>PSPITP2BC5TAP4101</t>
  </si>
  <si>
    <t>PSPITP2BC50004001-B</t>
  </si>
  <si>
    <t>741</t>
  </si>
  <si>
    <t>PSPITP2BC5THU4101</t>
  </si>
  <si>
    <t>PSPITP2BC50004101</t>
  </si>
  <si>
    <t>PSPITP2BC50014101</t>
  </si>
  <si>
    <t>PSPITP2BLADE04101</t>
  </si>
  <si>
    <t>PSPITP2BLADE04001-B</t>
  </si>
  <si>
    <t>742</t>
  </si>
  <si>
    <t>PSPITP2BLADE14101</t>
  </si>
  <si>
    <t>PSPITP2BLADE14001-B</t>
  </si>
  <si>
    <t>743</t>
  </si>
  <si>
    <t>PSPITP2CUBE004103</t>
  </si>
  <si>
    <t>PSPITP2CUBE004103-B</t>
  </si>
  <si>
    <t>80084</t>
  </si>
  <si>
    <t>MOLDE DISA PSPITP2CUBE004103-B</t>
  </si>
  <si>
    <t>PSPITP2CUBE014101</t>
  </si>
  <si>
    <t>PSPITP2CUBE014001-B</t>
  </si>
  <si>
    <t>805</t>
  </si>
  <si>
    <t>PSPITP2HCLAMP4101</t>
  </si>
  <si>
    <t>PSPITP2HCLAMP4001-B</t>
  </si>
  <si>
    <t>50001</t>
  </si>
  <si>
    <t>PSPITP2VCLAMP4101</t>
  </si>
  <si>
    <t>PSPITP2VCLAMP4001-B</t>
  </si>
  <si>
    <t>745</t>
  </si>
  <si>
    <t>PSPITP3BCCAP04101</t>
  </si>
  <si>
    <t>PSPITP3BCCAP04001-B</t>
  </si>
  <si>
    <t>1135</t>
  </si>
  <si>
    <t>PSPITP3BLADE04101</t>
  </si>
  <si>
    <t>PSPITP3BLADE04001-B</t>
  </si>
  <si>
    <t>80215</t>
  </si>
  <si>
    <t xml:space="preserve"> PSPITP3BLADE04001-B</t>
  </si>
  <si>
    <t>PSPITP3CTHOR04101</t>
  </si>
  <si>
    <t>PSPITP3CTHOR04001-B</t>
  </si>
  <si>
    <t>80042</t>
  </si>
  <si>
    <t>DISA PSPITP3CTHOR04001</t>
  </si>
  <si>
    <t>PSPITP3CTVER04101</t>
  </si>
  <si>
    <t>PSPITP3CTVER04001-B</t>
  </si>
  <si>
    <t>1136</t>
  </si>
  <si>
    <t>PSPITP3CUBE014101</t>
  </si>
  <si>
    <t>PSPITP3CUBE01-B</t>
  </si>
  <si>
    <t>80047</t>
  </si>
  <si>
    <t>MODELO DISA PSPITP3CUBE01-B</t>
  </si>
  <si>
    <t>PSPITP35BLAD14101</t>
  </si>
  <si>
    <t>PSPITP35BLAD14001-B</t>
  </si>
  <si>
    <t>50281</t>
  </si>
  <si>
    <t>PSPITS630C0014101</t>
  </si>
  <si>
    <t>PSPITS630C0014001-B</t>
  </si>
  <si>
    <t>747</t>
  </si>
  <si>
    <t>PSPITS830B0014101</t>
  </si>
  <si>
    <t>PSPITS830B0014001-B</t>
  </si>
  <si>
    <t>748</t>
  </si>
  <si>
    <t>PSPITS830B0014101M</t>
  </si>
  <si>
    <t>PSPITS850B0014101</t>
  </si>
  <si>
    <t>PSPITS850B0014001-B</t>
  </si>
  <si>
    <t>749</t>
  </si>
  <si>
    <t>PSPITS850B0054101</t>
  </si>
  <si>
    <t>PSPITS850B0054001-B</t>
  </si>
  <si>
    <t>750</t>
  </si>
  <si>
    <t>PSPIVP500024001</t>
  </si>
  <si>
    <t>PSPIVP500024001-B</t>
  </si>
  <si>
    <t>751</t>
  </si>
  <si>
    <t>PSPIVP700014002</t>
  </si>
  <si>
    <t>PSPIVP700014002-B</t>
  </si>
  <si>
    <t>80104</t>
  </si>
  <si>
    <t>MOLDE DISA PSPIVP700014002-B</t>
  </si>
  <si>
    <t>PSPIVP700034001</t>
  </si>
  <si>
    <t>PSPIVP700034001-B</t>
  </si>
  <si>
    <t>68</t>
  </si>
  <si>
    <t>PSPPVNBASE01</t>
  </si>
  <si>
    <t>PSPPVNBASE01-B</t>
  </si>
  <si>
    <t>1143</t>
  </si>
  <si>
    <t>PSP653-1830</t>
  </si>
  <si>
    <t>PSP653-1830-B</t>
  </si>
  <si>
    <t>80077</t>
  </si>
  <si>
    <t>MOLDE DISA PSP653-1830-B</t>
  </si>
  <si>
    <t>PSP653-1880</t>
  </si>
  <si>
    <t>PSP653-1880-B</t>
  </si>
  <si>
    <t>80073</t>
  </si>
  <si>
    <t>MOLDE DISA PSP653-1880</t>
  </si>
  <si>
    <t>PSP653-1881</t>
  </si>
  <si>
    <t>PSP653-1881-B</t>
  </si>
  <si>
    <t>80074</t>
  </si>
  <si>
    <t>MOLDE DISA PSP-653-1881</t>
  </si>
  <si>
    <t>PSP653-1927</t>
  </si>
  <si>
    <t>PSP653-1927-B</t>
  </si>
  <si>
    <t>80091</t>
  </si>
  <si>
    <t>MOLDE DISA PSP653-1927-B</t>
  </si>
  <si>
    <t>PSP653-1928</t>
  </si>
  <si>
    <t>PSP653-1928-B</t>
  </si>
  <si>
    <t>80071</t>
  </si>
  <si>
    <t>MOLDE DISA PSP653-1928</t>
  </si>
  <si>
    <t>PSP653-2100</t>
  </si>
  <si>
    <t>PSP653-2100-B</t>
  </si>
  <si>
    <t>80119</t>
  </si>
  <si>
    <t>MOLDE DISA PSP653-2100-B</t>
  </si>
  <si>
    <t>PS024685GALV</t>
  </si>
  <si>
    <t>PP-24685-B</t>
  </si>
  <si>
    <t>80253</t>
  </si>
  <si>
    <t>HUBBELL POWER SYSTEMS, INC. (LEEDS)</t>
  </si>
  <si>
    <t>CONJUNTO MOLDE</t>
  </si>
  <si>
    <t>PS273003-4001</t>
  </si>
  <si>
    <t>PS273003-4001-B</t>
  </si>
  <si>
    <t>50020</t>
  </si>
  <si>
    <t>P-2045 (FURO 14)</t>
  </si>
  <si>
    <t>P-2045-B</t>
  </si>
  <si>
    <t>80050</t>
  </si>
  <si>
    <t>PORCELANAS INDUSTRIAIS GERMER S.A.</t>
  </si>
  <si>
    <t>PLACA DISA P-2045</t>
  </si>
  <si>
    <t>P-2045 (FURO 16.5)</t>
  </si>
  <si>
    <t>P-22651</t>
  </si>
  <si>
    <t>P-22651-B</t>
  </si>
  <si>
    <t>180</t>
  </si>
  <si>
    <t>MACLEAN POWER YORK</t>
  </si>
  <si>
    <t>P-22652</t>
  </si>
  <si>
    <t>P-22652-B</t>
  </si>
  <si>
    <t>849</t>
  </si>
  <si>
    <t>P-22653</t>
  </si>
  <si>
    <t>P-22653-B</t>
  </si>
  <si>
    <t>184</t>
  </si>
  <si>
    <t>185</t>
  </si>
  <si>
    <t>P-22656</t>
  </si>
  <si>
    <t>P-22656-B</t>
  </si>
  <si>
    <t>670</t>
  </si>
  <si>
    <t>P-22657</t>
  </si>
  <si>
    <t>P-22657-B</t>
  </si>
  <si>
    <t>188</t>
  </si>
  <si>
    <t>P-22658</t>
  </si>
  <si>
    <t>P-22658-B</t>
  </si>
  <si>
    <t>671</t>
  </si>
  <si>
    <t>P-22671</t>
  </si>
  <si>
    <t>P-22671-B</t>
  </si>
  <si>
    <t>674</t>
  </si>
  <si>
    <t>P-22674</t>
  </si>
  <si>
    <t>P-22674-B</t>
  </si>
  <si>
    <t>676</t>
  </si>
  <si>
    <t>HIDRO JET USA LLC</t>
  </si>
  <si>
    <t>P-27011</t>
  </si>
  <si>
    <t>P-27011-B</t>
  </si>
  <si>
    <t>50244</t>
  </si>
  <si>
    <t>P-27012</t>
  </si>
  <si>
    <t>P-27012-B</t>
  </si>
  <si>
    <t>80147</t>
  </si>
  <si>
    <t>MOLDE DISA P-27012-B</t>
  </si>
  <si>
    <t>P-27562</t>
  </si>
  <si>
    <t>P-27562-B</t>
  </si>
  <si>
    <t>80131</t>
  </si>
  <si>
    <t>MOLDE DISA P-27562-B</t>
  </si>
  <si>
    <t>P-27577</t>
  </si>
  <si>
    <t>P-27577-B</t>
  </si>
  <si>
    <t>80181</t>
  </si>
  <si>
    <t>MOLDE DISA P-27577-B</t>
  </si>
  <si>
    <t>P-27581</t>
  </si>
  <si>
    <t>P-27581-B</t>
  </si>
  <si>
    <t>80203</t>
  </si>
  <si>
    <t>MOLDE DISA P-27581-B</t>
  </si>
  <si>
    <t>P-27603</t>
  </si>
  <si>
    <t>P-27603-B</t>
  </si>
  <si>
    <t>80206</t>
  </si>
  <si>
    <t>CONJUNTO FERRAMENTA P-27603-B</t>
  </si>
  <si>
    <t>P-27630</t>
  </si>
  <si>
    <t>P-27630-B</t>
  </si>
  <si>
    <t>80196</t>
  </si>
  <si>
    <t>MOLDE DISA P-27630-B</t>
  </si>
  <si>
    <t>P-27687</t>
  </si>
  <si>
    <t>P-27687-B</t>
  </si>
  <si>
    <t>80247</t>
  </si>
  <si>
    <t>CONJUNTO MOLDE P-27687-B</t>
  </si>
  <si>
    <t>P-27711</t>
  </si>
  <si>
    <t>P-27711-B</t>
  </si>
  <si>
    <t>80251</t>
  </si>
  <si>
    <t>CONJ. MOLDE P-27711-B</t>
  </si>
  <si>
    <t>P-27712</t>
  </si>
  <si>
    <t>P-27712-B</t>
  </si>
  <si>
    <t>80249</t>
  </si>
  <si>
    <t>CONJ. MOLDE P-27712-B</t>
  </si>
  <si>
    <t>P-27724</t>
  </si>
  <si>
    <t>P-27724-B</t>
  </si>
  <si>
    <t>80411</t>
  </si>
  <si>
    <t>MOLDE DISA P-27724-B</t>
  </si>
  <si>
    <t>P-27726</t>
  </si>
  <si>
    <t>P-27726-B</t>
  </si>
  <si>
    <t>80312</t>
  </si>
  <si>
    <t>MOLDE P-27726-B</t>
  </si>
  <si>
    <t>P-27738</t>
  </si>
  <si>
    <t>P-27738-B</t>
  </si>
  <si>
    <t>209</t>
  </si>
  <si>
    <t>CJ MOLDE DISAP-27738-B</t>
  </si>
  <si>
    <t>P-27739</t>
  </si>
  <si>
    <t>P-27739-B</t>
  </si>
  <si>
    <t>211</t>
  </si>
  <si>
    <t>CX MOLDE P-27739-B</t>
  </si>
  <si>
    <t>P-27741</t>
  </si>
  <si>
    <t>P-27741-B</t>
  </si>
  <si>
    <t>80299</t>
  </si>
  <si>
    <t>MOLDE P-27741-B</t>
  </si>
  <si>
    <t>P-27742</t>
  </si>
  <si>
    <t>P-27742-B</t>
  </si>
  <si>
    <t>80303</t>
  </si>
  <si>
    <t>CX MOLDE P-27742-B</t>
  </si>
  <si>
    <t>P-27770</t>
  </si>
  <si>
    <t>P-27770-B</t>
  </si>
  <si>
    <t>80429</t>
  </si>
  <si>
    <t>MOLDE DISA P27770-B</t>
  </si>
  <si>
    <t>P653-1435</t>
  </si>
  <si>
    <t>P653-1435-B</t>
  </si>
  <si>
    <t>80072</t>
  </si>
  <si>
    <t>MOLDE DISA P-6531435</t>
  </si>
  <si>
    <t>P653-1585</t>
  </si>
  <si>
    <t>P653-1585-B</t>
  </si>
  <si>
    <t>700</t>
  </si>
  <si>
    <t>P653-1592</t>
  </si>
  <si>
    <t>P653-1592-B</t>
  </si>
  <si>
    <t>702</t>
  </si>
  <si>
    <t>P-70649</t>
  </si>
  <si>
    <t>P-70649-B</t>
  </si>
  <si>
    <t>195</t>
  </si>
  <si>
    <t>P-70814</t>
  </si>
  <si>
    <t>P-70814-B</t>
  </si>
  <si>
    <t>199</t>
  </si>
  <si>
    <t>P-70935</t>
  </si>
  <si>
    <t>P-70935-B</t>
  </si>
  <si>
    <t>201</t>
  </si>
  <si>
    <t>202</t>
  </si>
  <si>
    <t>P-70993</t>
  </si>
  <si>
    <t>P-70993-B</t>
  </si>
  <si>
    <t>716</t>
  </si>
  <si>
    <t>P-71000</t>
  </si>
  <si>
    <t>P-71000-B</t>
  </si>
  <si>
    <t>718</t>
  </si>
  <si>
    <t>P-71071</t>
  </si>
  <si>
    <t>P-71071-B</t>
  </si>
  <si>
    <t>719</t>
  </si>
  <si>
    <t>P-71086</t>
  </si>
  <si>
    <t>P-71086-B</t>
  </si>
  <si>
    <t>80136</t>
  </si>
  <si>
    <t>MOLDE DISA P-71086</t>
  </si>
  <si>
    <t>P-71136</t>
  </si>
  <si>
    <t>P-71136-B</t>
  </si>
  <si>
    <t>723</t>
  </si>
  <si>
    <t>P-71137</t>
  </si>
  <si>
    <t>P-71137-B</t>
  </si>
  <si>
    <t>203</t>
  </si>
  <si>
    <t>P-71144</t>
  </si>
  <si>
    <t>P-71144-B</t>
  </si>
  <si>
    <t>208</t>
  </si>
  <si>
    <t>P-71184</t>
  </si>
  <si>
    <t>P-71184-B</t>
  </si>
  <si>
    <t>731</t>
  </si>
  <si>
    <t>P-71195</t>
  </si>
  <si>
    <t>P-71195-B</t>
  </si>
  <si>
    <t>733</t>
  </si>
  <si>
    <t>P-83450</t>
  </si>
  <si>
    <t>P-83450-B</t>
  </si>
  <si>
    <t>80383</t>
  </si>
  <si>
    <t>MACLEAN POWER SYSTEM - ALABAMA</t>
  </si>
  <si>
    <t>CJ MOLDE DISA P83450-B</t>
  </si>
  <si>
    <t>P-83451</t>
  </si>
  <si>
    <t>P-83451-B</t>
  </si>
  <si>
    <t>80387</t>
  </si>
  <si>
    <t>CJ MOLDE DISA P83451-B</t>
  </si>
  <si>
    <t>Q-313446</t>
  </si>
  <si>
    <t>Q-313446-B</t>
  </si>
  <si>
    <t>104</t>
  </si>
  <si>
    <t>DELETAR</t>
  </si>
  <si>
    <t>ROL-1218</t>
  </si>
  <si>
    <t>ROL-1218-B</t>
  </si>
  <si>
    <t>80343</t>
  </si>
  <si>
    <t>MACLEAN POWER SYSTEMS DO BRASIL LTDA</t>
  </si>
  <si>
    <t>CONJUNTO MOLDE ROL-1218-B</t>
  </si>
  <si>
    <t>R907193018</t>
  </si>
  <si>
    <t>193018.03-B</t>
  </si>
  <si>
    <t>1085</t>
  </si>
  <si>
    <t>BOSCH REXROTH LTDA</t>
  </si>
  <si>
    <t>CAIXA MOLDE CB 193018.03-B</t>
  </si>
  <si>
    <t>R907195427</t>
  </si>
  <si>
    <t>19542600-B</t>
  </si>
  <si>
    <t>1094</t>
  </si>
  <si>
    <t>CX MOLDE COLD BOX 19542600-B</t>
  </si>
  <si>
    <t>R907197638</t>
  </si>
  <si>
    <t>R907261038</t>
  </si>
  <si>
    <t>261038.00-B</t>
  </si>
  <si>
    <t>1014</t>
  </si>
  <si>
    <t>CX MOLDE COLD BOX 261038.00-B</t>
  </si>
  <si>
    <t>R908106053</t>
  </si>
  <si>
    <t>08106052-B</t>
  </si>
  <si>
    <t>1093</t>
  </si>
  <si>
    <t>CX MOLDE CB 08106052-B</t>
  </si>
  <si>
    <t>R908106054</t>
  </si>
  <si>
    <t>R908106055</t>
  </si>
  <si>
    <t>R917004196-B</t>
  </si>
  <si>
    <t>R917005250-B</t>
  </si>
  <si>
    <t>R917005461-B</t>
  </si>
  <si>
    <t>R917007844</t>
  </si>
  <si>
    <t>R917007844-B</t>
  </si>
  <si>
    <t>50584</t>
  </si>
  <si>
    <t>MOLDE R917007844-B</t>
  </si>
  <si>
    <t>R917008768</t>
  </si>
  <si>
    <t>R917008768-B</t>
  </si>
  <si>
    <t>50589</t>
  </si>
  <si>
    <t>CX MOLDE R917008768-B</t>
  </si>
  <si>
    <t>R979023018</t>
  </si>
  <si>
    <t>1525503546-B</t>
  </si>
  <si>
    <t>1091</t>
  </si>
  <si>
    <t>CAIXA MOLDE CB 1525503546-B</t>
  </si>
  <si>
    <t>R979032755</t>
  </si>
  <si>
    <t>R979106134-B</t>
  </si>
  <si>
    <t>1186</t>
  </si>
  <si>
    <t>CAIXA MOLDE R979106134-B</t>
  </si>
  <si>
    <t>R979106148</t>
  </si>
  <si>
    <t>9541082206-B</t>
  </si>
  <si>
    <t>1096</t>
  </si>
  <si>
    <t>CX MOLDE CB  9541082206-B</t>
  </si>
  <si>
    <t>R979106149</t>
  </si>
  <si>
    <t>SBFP-5X8.25(18)</t>
  </si>
  <si>
    <t>SBFP-5X8.25-B</t>
  </si>
  <si>
    <t>765</t>
  </si>
  <si>
    <t>SBFP-5X8.25(22)</t>
  </si>
  <si>
    <t>SBP-1200-G</t>
  </si>
  <si>
    <t>SBP-1200-G-B</t>
  </si>
  <si>
    <t>80332</t>
  </si>
  <si>
    <t>CJ MOLDE DISA SBP-1200-G-B</t>
  </si>
  <si>
    <t>SB-233-A</t>
  </si>
  <si>
    <t>SB-233-A-B</t>
  </si>
  <si>
    <t>50333</t>
  </si>
  <si>
    <t>SB-234-A</t>
  </si>
  <si>
    <t>SB-234-A-B</t>
  </si>
  <si>
    <t>50351</t>
  </si>
  <si>
    <t>PLACA DISA SB-234-A</t>
  </si>
  <si>
    <t>SB-431-A</t>
  </si>
  <si>
    <t>SB-431-A-B</t>
  </si>
  <si>
    <t>50330</t>
  </si>
  <si>
    <t>PLACA DISA SB-431-A</t>
  </si>
  <si>
    <t>SB-433-A</t>
  </si>
  <si>
    <t>SB-433-A-B</t>
  </si>
  <si>
    <t>50329</t>
  </si>
  <si>
    <t>SB-433-A (LB-425-A)</t>
  </si>
  <si>
    <t>SB-435-A</t>
  </si>
  <si>
    <t>SB-435-A-B</t>
  </si>
  <si>
    <t>927</t>
  </si>
  <si>
    <t>SE-234-A</t>
  </si>
  <si>
    <t>SE-234-A-B</t>
  </si>
  <si>
    <t>855</t>
  </si>
  <si>
    <t>SE-431-A</t>
  </si>
  <si>
    <t>SE-431-A-B</t>
  </si>
  <si>
    <t>814</t>
  </si>
  <si>
    <t>SE-432-A</t>
  </si>
  <si>
    <t>SE-432-A-B</t>
  </si>
  <si>
    <t>766</t>
  </si>
  <si>
    <t>SMO-0120</t>
  </si>
  <si>
    <t>SMO-0120-B</t>
  </si>
  <si>
    <t>80333</t>
  </si>
  <si>
    <t>CONJUNTO MOLDE SMO-0120-B</t>
  </si>
  <si>
    <t>SUD-IN-01</t>
  </si>
  <si>
    <t>SUD-IN-01-B</t>
  </si>
  <si>
    <t>80366</t>
  </si>
  <si>
    <t>STIELETRONICA ISOLADORES S/A</t>
  </si>
  <si>
    <t>CJ MOLDE DISA SUD-IN-01-B</t>
  </si>
  <si>
    <t>TE000059</t>
  </si>
  <si>
    <t>TE000059-B</t>
  </si>
  <si>
    <t>80362</t>
  </si>
  <si>
    <t>ISOELECTRIC BRASIL LTDA</t>
  </si>
  <si>
    <t>CJ MOLDE DISA TE000059-B</t>
  </si>
  <si>
    <t>TE000131</t>
  </si>
  <si>
    <t>TE000131-B</t>
  </si>
  <si>
    <t>80182</t>
  </si>
  <si>
    <t>MOLDE DISA TE000131-B</t>
  </si>
  <si>
    <t>TE000141</t>
  </si>
  <si>
    <t>TE000141-B</t>
  </si>
  <si>
    <t>80143</t>
  </si>
  <si>
    <t>MOLDE DISA TE000141-B</t>
  </si>
  <si>
    <t>TE000163</t>
  </si>
  <si>
    <t>TE000163(AV)-B</t>
  </si>
  <si>
    <t>80323</t>
  </si>
  <si>
    <t>CONJUNTO MOLDE TE000163-B</t>
  </si>
  <si>
    <t>TE000212 (AV)</t>
  </si>
  <si>
    <t>T110112-B</t>
  </si>
  <si>
    <t>50443</t>
  </si>
  <si>
    <t>MOLDE DISA T110112-B</t>
  </si>
  <si>
    <t>TE000213 (AV)</t>
  </si>
  <si>
    <t>T110113-B</t>
  </si>
  <si>
    <t>50445</t>
  </si>
  <si>
    <t>MOLDE DISA T110113-B</t>
  </si>
  <si>
    <t>TE000336</t>
  </si>
  <si>
    <t>TE000336-B</t>
  </si>
  <si>
    <t>80403</t>
  </si>
  <si>
    <t>MOLDE DISA</t>
  </si>
  <si>
    <t>TE000337</t>
  </si>
  <si>
    <t>TE000337-B</t>
  </si>
  <si>
    <t>80404</t>
  </si>
  <si>
    <t>MOLDE DISA TE000337-B</t>
  </si>
  <si>
    <t>TE000417</t>
  </si>
  <si>
    <t>TE000439</t>
  </si>
  <si>
    <t>TE000485(120µ)</t>
  </si>
  <si>
    <t>T42219</t>
  </si>
  <si>
    <t>T42219-B</t>
  </si>
  <si>
    <t>80142</t>
  </si>
  <si>
    <t>SULTECNICA INDUSTRIA MECANICA LTDA</t>
  </si>
  <si>
    <t>MOLDE DISA T42219-B</t>
  </si>
  <si>
    <t>V-50737</t>
  </si>
  <si>
    <t>V-50737-B</t>
  </si>
  <si>
    <t>105</t>
  </si>
  <si>
    <t>50030</t>
  </si>
  <si>
    <t>00175HJ</t>
  </si>
  <si>
    <t>200147-B</t>
  </si>
  <si>
    <t>50521</t>
  </si>
  <si>
    <t>LIGA FERRO FUNDIDO NODULAR 65-45-12 FN-01</t>
  </si>
  <si>
    <t>HOFFER COMPONENTES AUTOMOTIVOS EIRELI</t>
  </si>
  <si>
    <t>IMPLEMENTOS RODOVIÁRIOS</t>
  </si>
  <si>
    <t>MOLDE GEVITE 200147-B</t>
  </si>
  <si>
    <t>TRES EIXOS INDUSTRIA DE EQUIPAMENTOS DE TRANSPORTE LTDA</t>
  </si>
  <si>
    <t>DARTHEL INDÚSTRIA DE PLÁSTICOS LTDA</t>
  </si>
  <si>
    <t>METALURGICA CECHINATO LTDA</t>
  </si>
  <si>
    <t>MJ INDUSTRIA E COMERCIO DE LAMINACAO E ACESSORIOS LTDA</t>
  </si>
  <si>
    <t>NEW-G INDUSTRIA DE IMPLEMENTOS RODOVIARIOS LTD</t>
  </si>
  <si>
    <t>GABB INDUSTRIA DE ACESSORIOS LTDA</t>
  </si>
  <si>
    <t>ESTRADA IMPLEMENTOS RODOVIARIOS LTDA</t>
  </si>
  <si>
    <t>ELDORADO INDUSTRIA METALURGICA LTDA</t>
  </si>
  <si>
    <t>00175HJ-SF</t>
  </si>
  <si>
    <t>RAV INDUSTRIA DE CORRENTES E ARTEFATOS METÁLICOS LTDA</t>
  </si>
  <si>
    <t>FORT IND. DE ACESSORIOS AUTOMOTIVOS LTDA</t>
  </si>
  <si>
    <t>00175HJ-SLUB</t>
  </si>
  <si>
    <t>FORBAL INDUSTRIA AUTOMOTIVE LTDA</t>
  </si>
  <si>
    <t>BG INDUSTRIA COMERCIO E SERVICOS LTDA</t>
  </si>
  <si>
    <t>002000</t>
  </si>
  <si>
    <t>002000-B</t>
  </si>
  <si>
    <t>1000</t>
  </si>
  <si>
    <t>CAIXA MOLDE COLD BOX 002000-B</t>
  </si>
  <si>
    <t>002001</t>
  </si>
  <si>
    <t>002001-B</t>
  </si>
  <si>
    <t>1002</t>
  </si>
  <si>
    <t>CAIXA MOLDE COLD BOX 002001-B</t>
  </si>
  <si>
    <t>002002</t>
  </si>
  <si>
    <t>002002-B</t>
  </si>
  <si>
    <t>CAIXA MOLDE 002002-B</t>
  </si>
  <si>
    <t>002003</t>
  </si>
  <si>
    <t>002003-B</t>
  </si>
  <si>
    <t>1033</t>
  </si>
  <si>
    <t>CAIXA MOLDE COLD BOX 002003-B</t>
  </si>
  <si>
    <t>002004</t>
  </si>
  <si>
    <t>002005-B</t>
  </si>
  <si>
    <t>002006-B</t>
  </si>
  <si>
    <t>002008</t>
  </si>
  <si>
    <t>002008-B</t>
  </si>
  <si>
    <t>1035</t>
  </si>
  <si>
    <t>CAIXA MOLDE 002008-B</t>
  </si>
  <si>
    <t>002012</t>
  </si>
  <si>
    <t>002012-B</t>
  </si>
  <si>
    <t>1005</t>
  </si>
  <si>
    <t>CAIXA MOLDE COLD BOX 002012-B</t>
  </si>
  <si>
    <t>009511 ROSCA 1/2 ESP</t>
  </si>
  <si>
    <t>009511-B</t>
  </si>
  <si>
    <t>80188</t>
  </si>
  <si>
    <t>MOLDE DISA 009511-B</t>
  </si>
  <si>
    <t>009511M M12X1.75 ESP</t>
  </si>
  <si>
    <t>019432-8</t>
  </si>
  <si>
    <t>019433-6-B</t>
  </si>
  <si>
    <t>50334</t>
  </si>
  <si>
    <t>LIGA FERRO FUNDIDO CINZENTO FC-300 C3</t>
  </si>
  <si>
    <t>EATON LTDA</t>
  </si>
  <si>
    <t>PLACA DISA 019433-6</t>
  </si>
  <si>
    <t>0194400020</t>
  </si>
  <si>
    <t>PP-19440-B</t>
  </si>
  <si>
    <t>80289</t>
  </si>
  <si>
    <t>CONJ. MOLDE PP-19440-B</t>
  </si>
  <si>
    <t>019478-6</t>
  </si>
  <si>
    <t>019479-4-B</t>
  </si>
  <si>
    <t>50274</t>
  </si>
  <si>
    <t>LIGA FERRO FUNDIDO CINZENTO FC-350 C4</t>
  </si>
  <si>
    <t>TAMPA LATERAL 019479-4</t>
  </si>
  <si>
    <t>50217</t>
  </si>
  <si>
    <t>019518-9</t>
  </si>
  <si>
    <t>019519-7-B</t>
  </si>
  <si>
    <t>50215</t>
  </si>
  <si>
    <t>019519-7</t>
  </si>
  <si>
    <t>023391</t>
  </si>
  <si>
    <t>023391-B</t>
  </si>
  <si>
    <t>4</t>
  </si>
  <si>
    <t>0254003</t>
  </si>
  <si>
    <t>0254003-B</t>
  </si>
  <si>
    <t>50428</t>
  </si>
  <si>
    <t>CX MOLDE COLD BOX 0254003-B</t>
  </si>
  <si>
    <t>0254004</t>
  </si>
  <si>
    <t>0254004-B</t>
  </si>
  <si>
    <t>50409</t>
  </si>
  <si>
    <t>CX MOLDE COLDE BOX 0254004-B</t>
  </si>
  <si>
    <t>0254028</t>
  </si>
  <si>
    <t>0254028-B</t>
  </si>
  <si>
    <t>1089</t>
  </si>
  <si>
    <t>CAIXA MOLDE CB 0254028-B</t>
  </si>
  <si>
    <t>0254029</t>
  </si>
  <si>
    <t>0254029-B</t>
  </si>
  <si>
    <t>1087</t>
  </si>
  <si>
    <t>CAIXA MOLDE CB 0254029-B</t>
  </si>
  <si>
    <t>0254034</t>
  </si>
  <si>
    <t>0254034-B</t>
  </si>
  <si>
    <t>1198</t>
  </si>
  <si>
    <t>CAIXA MOLDE 254034-B</t>
  </si>
  <si>
    <t>0254043</t>
  </si>
  <si>
    <t>0254043-B</t>
  </si>
  <si>
    <t>50421</t>
  </si>
  <si>
    <t>CX. MOLDE COLD BOX 0254043-B</t>
  </si>
  <si>
    <t>0254092</t>
  </si>
  <si>
    <t>0254092-B</t>
  </si>
  <si>
    <t>50411</t>
  </si>
  <si>
    <t>CX MOLDE COLD BOX 0254092-B</t>
  </si>
  <si>
    <t>0254216</t>
  </si>
  <si>
    <t>0254216-B</t>
  </si>
  <si>
    <t>50426</t>
  </si>
  <si>
    <t>CX. MOLDE CPLD BOX 0254216-B</t>
  </si>
  <si>
    <t>0254285/00-7</t>
  </si>
  <si>
    <t>0254285-B</t>
  </si>
  <si>
    <t>1082</t>
  </si>
  <si>
    <t>CAIXA MOLDE CB 0254285</t>
  </si>
  <si>
    <t>0254286-B</t>
  </si>
  <si>
    <t>0254287/00-0</t>
  </si>
  <si>
    <t>0254287-B</t>
  </si>
  <si>
    <t>1084</t>
  </si>
  <si>
    <t>CAIXA MOLDE C.B 0254287</t>
  </si>
  <si>
    <t>0254430</t>
  </si>
  <si>
    <t>0254430-B</t>
  </si>
  <si>
    <t>50402</t>
  </si>
  <si>
    <t>MOLDE COLD BOX 0254430-B</t>
  </si>
  <si>
    <t>0254435</t>
  </si>
  <si>
    <t>0254435-B</t>
  </si>
  <si>
    <t>1199</t>
  </si>
  <si>
    <t>CAIXA MOLDE 254435-B</t>
  </si>
  <si>
    <t>043921</t>
  </si>
  <si>
    <t>043921-B</t>
  </si>
  <si>
    <t>1069</t>
  </si>
  <si>
    <t>CAIXA MOLDE COLD BOX 043921-B</t>
  </si>
  <si>
    <t>047171</t>
  </si>
  <si>
    <t>048091</t>
  </si>
  <si>
    <t>048746</t>
  </si>
  <si>
    <t>048746-B</t>
  </si>
  <si>
    <t>1189</t>
  </si>
  <si>
    <t>CAIXA MOLDE 048746</t>
  </si>
  <si>
    <t>049524</t>
  </si>
  <si>
    <t>049527</t>
  </si>
  <si>
    <t>049724</t>
  </si>
  <si>
    <t>156L5086-B</t>
  </si>
  <si>
    <t>1036</t>
  </si>
  <si>
    <t>CX MOLDE  COLD BOX156L5086-B</t>
  </si>
  <si>
    <t>049752</t>
  </si>
  <si>
    <t>049833</t>
  </si>
  <si>
    <t>049928</t>
  </si>
  <si>
    <t>049095-B</t>
  </si>
  <si>
    <t>1078</t>
  </si>
  <si>
    <t>CAIXA MOLDE COLDBOX 049095</t>
  </si>
  <si>
    <t>050048</t>
  </si>
  <si>
    <t>050051</t>
  </si>
  <si>
    <t>156L5069-B</t>
  </si>
  <si>
    <t>050780</t>
  </si>
  <si>
    <t>050782</t>
  </si>
  <si>
    <t>050783</t>
  </si>
  <si>
    <t>050785</t>
  </si>
  <si>
    <t>050840</t>
  </si>
  <si>
    <t>050848</t>
  </si>
  <si>
    <t>034704-B</t>
  </si>
  <si>
    <t>243</t>
  </si>
  <si>
    <t>050851</t>
  </si>
  <si>
    <t>035060-B</t>
  </si>
  <si>
    <t>244</t>
  </si>
  <si>
    <t>050853</t>
  </si>
  <si>
    <t>035061-B</t>
  </si>
  <si>
    <t>1147</t>
  </si>
  <si>
    <t>0705012014</t>
  </si>
  <si>
    <t>0705012014-B</t>
  </si>
  <si>
    <t>80192</t>
  </si>
  <si>
    <t>VOKKAN INCORPORACAO AREA 10 - VP I LTDA - INC 10 - VELEIROS</t>
  </si>
  <si>
    <t>CONSTRUÇÃO CIVIL</t>
  </si>
  <si>
    <t>MOLDE DISA 0705012014-B</t>
  </si>
  <si>
    <t>MAXINCORP CONSTRUTORA E INCORPORADORA LTDA</t>
  </si>
  <si>
    <t>GROEN ENGENHARIA E MEIO AMBIENTE LTDA</t>
  </si>
  <si>
    <t>PORTO HORIZONTE SPE EMPREENDIMENTOS IMOBILIARIOS LTDA</t>
  </si>
  <si>
    <t>PROP SISTEMAS METALICOS LTDA EPP</t>
  </si>
  <si>
    <t>VOKKAN INCORPORACAO AREA 17 - VP I LTDA - INC 09 - RESID. VIDEIRAS</t>
  </si>
  <si>
    <t>SZ EMPREENDIMENTOS LTDA</t>
  </si>
  <si>
    <t>TYJAUSA LOCADORA DE MAQS.E EQUIPS.LTDA - LOKAMAQ</t>
  </si>
  <si>
    <t>MELNICK EVEN AQUARIUS EMPREENDIMENTO IMOBILIARIO LTDA</t>
  </si>
  <si>
    <t>PERFILLINE COMPONENTES METALICOS LTDA</t>
  </si>
  <si>
    <t>CARLLOTTO EMPREENDIMENTOS IMOBILIARIOS LTDA</t>
  </si>
  <si>
    <t>HASAM INCORPORACOES LTDA</t>
  </si>
  <si>
    <t>CONSTRUTORA FONTANA LTDA</t>
  </si>
  <si>
    <t>VETTER EMPREENDIMENTOS LTDA</t>
  </si>
  <si>
    <t>12Z CITY TOWERS III EMPREENDIMENTO IMOBILIARIOS SPE SOCIEDADE UNIPESSO</t>
  </si>
  <si>
    <t>MCMV CONSTRUÇÕES BAHIA II SPE LTDA</t>
  </si>
  <si>
    <t xml:space="preserve"> BOLD INCORPORADORA LTDA</t>
  </si>
  <si>
    <t>0715023030</t>
  </si>
  <si>
    <t>0715023030-B</t>
  </si>
  <si>
    <t>80202</t>
  </si>
  <si>
    <t>MOLDE DISA 0715023030-B</t>
  </si>
  <si>
    <t>0741084302</t>
  </si>
  <si>
    <t>0741084302-B</t>
  </si>
  <si>
    <t>80193</t>
  </si>
  <si>
    <t>MOLDE DISA 0741084302-B</t>
  </si>
  <si>
    <t>1OADF001/PA</t>
  </si>
  <si>
    <t>RUDOLPH USINADOS S/A</t>
  </si>
  <si>
    <t>1OADF002/PA</t>
  </si>
  <si>
    <t>1OADF002/PC</t>
  </si>
  <si>
    <t>1OADF007/PB</t>
  </si>
  <si>
    <t>11192750-B</t>
  </si>
  <si>
    <t>50477</t>
  </si>
  <si>
    <t>MOLDE COLD BOX 11192750-B</t>
  </si>
  <si>
    <t>1WA1001</t>
  </si>
  <si>
    <t>1WA1001-B</t>
  </si>
  <si>
    <t>1203</t>
  </si>
  <si>
    <t>CAIXA MOLDE 1WA1001-B</t>
  </si>
  <si>
    <t>1WA9202</t>
  </si>
  <si>
    <t>1WA9202-B</t>
  </si>
  <si>
    <t>1128</t>
  </si>
  <si>
    <t>CAIXA MOLDE 1WA9202-B</t>
  </si>
  <si>
    <t>1WC9202</t>
  </si>
  <si>
    <t>1WC9202-B</t>
  </si>
  <si>
    <t>1131</t>
  </si>
  <si>
    <t>CAIXA MOLDE 1WC9202-B</t>
  </si>
  <si>
    <t>1WE6505</t>
  </si>
  <si>
    <t>1WE6505-B</t>
  </si>
  <si>
    <t>1121</t>
  </si>
  <si>
    <t>CAIXA DE MOLDE 1WE6505-B</t>
  </si>
  <si>
    <t>1WE6506</t>
  </si>
  <si>
    <t>1WE6506-B</t>
  </si>
  <si>
    <t>1328</t>
  </si>
  <si>
    <t>CAIXA MOLDE 1WE6506</t>
  </si>
  <si>
    <t>100510836-B</t>
  </si>
  <si>
    <t>10113190</t>
  </si>
  <si>
    <t>5K092743/3-B</t>
  </si>
  <si>
    <t>HUBBELL DO BRASIL,INDUS, COMERC,IMPORT E EXPORT DE EQUIP ELETR LTDA</t>
  </si>
  <si>
    <t>80335</t>
  </si>
  <si>
    <t>CONJUNTO MOLDE 5K092743/3-B</t>
  </si>
  <si>
    <t>INDUSTRIA ELETROMECANICA BALESTRO LTDA</t>
  </si>
  <si>
    <t>10113760</t>
  </si>
  <si>
    <t>5K092742/3-B</t>
  </si>
  <si>
    <t>50362</t>
  </si>
  <si>
    <t>10115620</t>
  </si>
  <si>
    <t>5K093608/3-B</t>
  </si>
  <si>
    <t>50377</t>
  </si>
  <si>
    <t>5K093608/3</t>
  </si>
  <si>
    <t>10115630</t>
  </si>
  <si>
    <t>5K092544/4-B</t>
  </si>
  <si>
    <t>50361</t>
  </si>
  <si>
    <t>5K092544/4</t>
  </si>
  <si>
    <t>10130B</t>
  </si>
  <si>
    <t>10130B-B</t>
  </si>
  <si>
    <t>80198</t>
  </si>
  <si>
    <t>METAL TECNICA BOVENAU LTDA</t>
  </si>
  <si>
    <t>MOLDE DISA 10130B-B</t>
  </si>
  <si>
    <t>10136B</t>
  </si>
  <si>
    <t>10136B-B</t>
  </si>
  <si>
    <t>80199</t>
  </si>
  <si>
    <t>MOLDE DISA  10136B-B</t>
  </si>
  <si>
    <t>11112389</t>
  </si>
  <si>
    <t>11113746</t>
  </si>
  <si>
    <t>11113750</t>
  </si>
  <si>
    <t>11116594</t>
  </si>
  <si>
    <t>048821-B</t>
  </si>
  <si>
    <t>1077</t>
  </si>
  <si>
    <t>CAIXA MOLDE COLD BOX 048821-B</t>
  </si>
  <si>
    <t>11116597</t>
  </si>
  <si>
    <t>048725-B</t>
  </si>
  <si>
    <t>1079</t>
  </si>
  <si>
    <t>CAIXA COLD BOX MOLDE 048725-B</t>
  </si>
  <si>
    <t>11118163</t>
  </si>
  <si>
    <t>11118306</t>
  </si>
  <si>
    <t>11124478</t>
  </si>
  <si>
    <t>11124474-B</t>
  </si>
  <si>
    <t>1206</t>
  </si>
  <si>
    <t>CAIXA  MOLDE 11124474-B</t>
  </si>
  <si>
    <t>11126375</t>
  </si>
  <si>
    <t>11172467-B</t>
  </si>
  <si>
    <t>1330</t>
  </si>
  <si>
    <t>CAIXA MOLDE 11172467-B</t>
  </si>
  <si>
    <t>11138722</t>
  </si>
  <si>
    <t>156L5163-B</t>
  </si>
  <si>
    <t>11151390</t>
  </si>
  <si>
    <t>156L5162-B</t>
  </si>
  <si>
    <t>50438</t>
  </si>
  <si>
    <t>CX MOLDE COLD BOX 156L5162-B</t>
  </si>
  <si>
    <t>11151392</t>
  </si>
  <si>
    <t>11152321</t>
  </si>
  <si>
    <t>11152332</t>
  </si>
  <si>
    <t>11152466</t>
  </si>
  <si>
    <t>11155240-B</t>
  </si>
  <si>
    <t>50434</t>
  </si>
  <si>
    <t>CX. MOLDE COLD BOX 11155240-B</t>
  </si>
  <si>
    <t>11152468</t>
  </si>
  <si>
    <t>11154271</t>
  </si>
  <si>
    <t>11155240</t>
  </si>
  <si>
    <t>11155581</t>
  </si>
  <si>
    <t>047810-B</t>
  </si>
  <si>
    <t>40221</t>
  </si>
  <si>
    <t>CAIXA DE MOLDE COLD BOX 047810</t>
  </si>
  <si>
    <t>11166861</t>
  </si>
  <si>
    <t>11166873</t>
  </si>
  <si>
    <t>11166875</t>
  </si>
  <si>
    <t>11166877</t>
  </si>
  <si>
    <t>11168546</t>
  </si>
  <si>
    <t>11172460</t>
  </si>
  <si>
    <t>11172935</t>
  </si>
  <si>
    <t>11172935-B</t>
  </si>
  <si>
    <t>1333</t>
  </si>
  <si>
    <t>CAIXA MOLDE 11172935-B</t>
  </si>
  <si>
    <t>11172936</t>
  </si>
  <si>
    <t>11172994</t>
  </si>
  <si>
    <t>11172998</t>
  </si>
  <si>
    <t>11173001</t>
  </si>
  <si>
    <t>11173003</t>
  </si>
  <si>
    <t>11173008</t>
  </si>
  <si>
    <t>11192750</t>
  </si>
  <si>
    <t>11192756-B</t>
  </si>
  <si>
    <t>11192758</t>
  </si>
  <si>
    <t>11193120</t>
  </si>
  <si>
    <t>11193364</t>
  </si>
  <si>
    <t>11193374</t>
  </si>
  <si>
    <t>11193380</t>
  </si>
  <si>
    <t>11197685</t>
  </si>
  <si>
    <t>11197685-B</t>
  </si>
  <si>
    <t>50490</t>
  </si>
  <si>
    <t>CAIXA MOLDE COLD BOX 11197685</t>
  </si>
  <si>
    <t>11241623</t>
  </si>
  <si>
    <t>11241623-B</t>
  </si>
  <si>
    <t>50604</t>
  </si>
  <si>
    <t>MOLDE 11241623-B</t>
  </si>
  <si>
    <t>11251692</t>
  </si>
  <si>
    <t>11253141</t>
  </si>
  <si>
    <t>11258703</t>
  </si>
  <si>
    <t>11262501</t>
  </si>
  <si>
    <t>11262501-B</t>
  </si>
  <si>
    <t>50526</t>
  </si>
  <si>
    <t>MOLDE 11262501-B</t>
  </si>
  <si>
    <t>11359736</t>
  </si>
  <si>
    <t>11359736-B</t>
  </si>
  <si>
    <t>50541</t>
  </si>
  <si>
    <t>MOLDE COLD BOX 11359736-B</t>
  </si>
  <si>
    <t>11361551</t>
  </si>
  <si>
    <t>11361551-B</t>
  </si>
  <si>
    <t>50544</t>
  </si>
  <si>
    <t>MOLDE COLD BOX 11361551-B</t>
  </si>
  <si>
    <t>11361553</t>
  </si>
  <si>
    <t>11361553-B</t>
  </si>
  <si>
    <t>50540</t>
  </si>
  <si>
    <t>MOLDE COLD BOX 11361553-B</t>
  </si>
  <si>
    <t>11362806</t>
  </si>
  <si>
    <t>11362806-B</t>
  </si>
  <si>
    <t>50550</t>
  </si>
  <si>
    <t>CONJUNTO MOLDE 11362806-B</t>
  </si>
  <si>
    <t>11364835</t>
  </si>
  <si>
    <t>11364835-B</t>
  </si>
  <si>
    <t>50542</t>
  </si>
  <si>
    <t>MOLDAGEM CB 11296367-B</t>
  </si>
  <si>
    <t>11369596</t>
  </si>
  <si>
    <t>11369596-B</t>
  </si>
  <si>
    <t>50545</t>
  </si>
  <si>
    <t>MOLDE COLD BOX 11369596-B</t>
  </si>
  <si>
    <t>1202100</t>
  </si>
  <si>
    <t>1202100-B</t>
  </si>
  <si>
    <t>1007</t>
  </si>
  <si>
    <t>CX MOLDE CB 1202100/00-7-B</t>
  </si>
  <si>
    <t>1202101/00-3</t>
  </si>
  <si>
    <t>1202101/00-3-B</t>
  </si>
  <si>
    <t>1008</t>
  </si>
  <si>
    <t>CX MOLDE CB 1202101/00-3-B</t>
  </si>
  <si>
    <t>1202102/00-0</t>
  </si>
  <si>
    <t>1202102/00-0-B</t>
  </si>
  <si>
    <t>1009</t>
  </si>
  <si>
    <t>CX MOLDE CB 1202102-B</t>
  </si>
  <si>
    <t>12127B</t>
  </si>
  <si>
    <t>12127B-B</t>
  </si>
  <si>
    <t>80184</t>
  </si>
  <si>
    <t>MOLDE DISA 12127B-B</t>
  </si>
  <si>
    <t>12430B</t>
  </si>
  <si>
    <t>12430B-B</t>
  </si>
  <si>
    <t>80187</t>
  </si>
  <si>
    <t>MOLDE DISA 12430B</t>
  </si>
  <si>
    <t>12436B</t>
  </si>
  <si>
    <t>12436B-B</t>
  </si>
  <si>
    <t>80186</t>
  </si>
  <si>
    <t>MOLDE DISA 12436B-B</t>
  </si>
  <si>
    <t>1280196/00-9</t>
  </si>
  <si>
    <t>1280196/00-9-B</t>
  </si>
  <si>
    <t>1207</t>
  </si>
  <si>
    <t>CAIXA DE MOLDE 1280196</t>
  </si>
  <si>
    <t>1280206-B</t>
  </si>
  <si>
    <t>1290084</t>
  </si>
  <si>
    <t>1290084-B</t>
  </si>
  <si>
    <t>80183</t>
  </si>
  <si>
    <t>MOLDE DISA 1290084-B</t>
  </si>
  <si>
    <t>1290101</t>
  </si>
  <si>
    <t>1290101-B</t>
  </si>
  <si>
    <t>1090</t>
  </si>
  <si>
    <t>CAIXA MOLDE CB 1290101-B</t>
  </si>
  <si>
    <t>1290112</t>
  </si>
  <si>
    <t>1290112-B</t>
  </si>
  <si>
    <t>50543</t>
  </si>
  <si>
    <t>CAIXA MOLDE COLD BOX 1290112-B</t>
  </si>
  <si>
    <t>1290115</t>
  </si>
  <si>
    <t>1290114-B</t>
  </si>
  <si>
    <t>1039</t>
  </si>
  <si>
    <t>CAIXA MOLDE COLD BOX 1290114-B</t>
  </si>
  <si>
    <t>1414-20R</t>
  </si>
  <si>
    <t>1414-20R-B</t>
  </si>
  <si>
    <t>50008</t>
  </si>
  <si>
    <t>14410DF</t>
  </si>
  <si>
    <t>14410DF-B</t>
  </si>
  <si>
    <t>80295</t>
  </si>
  <si>
    <t>LIGA FERRO FUNDIDO CINZENTO FC-200 C5</t>
  </si>
  <si>
    <t>DREAM INDUSTRIA E COMERCIO LTDA</t>
  </si>
  <si>
    <t>MÁQUINAS E EQUIPAMENTOS</t>
  </si>
  <si>
    <t>CJ MOLDE DISA 14410DF-B</t>
  </si>
  <si>
    <t>145006-020</t>
  </si>
  <si>
    <t>145006-020-B</t>
  </si>
  <si>
    <t>291</t>
  </si>
  <si>
    <t>PFISTERER (PTY) LTD</t>
  </si>
  <si>
    <t>15043860</t>
  </si>
  <si>
    <t>15043860-B</t>
  </si>
  <si>
    <t>50594</t>
  </si>
  <si>
    <t>PARKER HYDRAULIC VALVE SYSTEMS</t>
  </si>
  <si>
    <t>CX MOLDE 15043860-B</t>
  </si>
  <si>
    <t>1515500178</t>
  </si>
  <si>
    <t>1515500178-B</t>
  </si>
  <si>
    <t>1114</t>
  </si>
  <si>
    <t>DURMETAL INDUSTRIA E COMERCIO DE PEÇAS E MAQUINAS LTDA</t>
  </si>
  <si>
    <t>CAIXA MOLDE 1515500178-B</t>
  </si>
  <si>
    <t>1515500180</t>
  </si>
  <si>
    <t>1515500180-B</t>
  </si>
  <si>
    <t>1113</t>
  </si>
  <si>
    <t>CAIXA MOLDE 1515500180-B</t>
  </si>
  <si>
    <t>1515515840</t>
  </si>
  <si>
    <t>1515515840-B</t>
  </si>
  <si>
    <t>1130</t>
  </si>
  <si>
    <t>CAIXA MOLDE 1515515840-B</t>
  </si>
  <si>
    <t>1515715021</t>
  </si>
  <si>
    <t>1515715021-B</t>
  </si>
  <si>
    <t>1116</t>
  </si>
  <si>
    <t>CAIXA MOLDE 1515715021-B</t>
  </si>
  <si>
    <t>1515715072</t>
  </si>
  <si>
    <t>1515715072-B</t>
  </si>
  <si>
    <t>1195</t>
  </si>
  <si>
    <t>CAIXA MOLDE 1515715072-B</t>
  </si>
  <si>
    <t>1525104474</t>
  </si>
  <si>
    <t>1525104474-B</t>
  </si>
  <si>
    <t>1013</t>
  </si>
  <si>
    <t>CAIXA MOLDE 1525104474-B</t>
  </si>
  <si>
    <t>1525104474-EX</t>
  </si>
  <si>
    <t>KLAUS BACKES GMBH</t>
  </si>
  <si>
    <t>1525503614</t>
  </si>
  <si>
    <t>1525503614-B</t>
  </si>
  <si>
    <t>19</t>
  </si>
  <si>
    <t>156L5086</t>
  </si>
  <si>
    <t>156L5117-B</t>
  </si>
  <si>
    <t>156L5162 (047398)</t>
  </si>
  <si>
    <t>157098005</t>
  </si>
  <si>
    <t>157098005-B</t>
  </si>
  <si>
    <t>958</t>
  </si>
  <si>
    <t>159068113</t>
  </si>
  <si>
    <t>159068113-B</t>
  </si>
  <si>
    <t>802218</t>
  </si>
  <si>
    <t>CAIXA DE MACHO</t>
  </si>
  <si>
    <t>802</t>
  </si>
  <si>
    <t>159068114</t>
  </si>
  <si>
    <t>159068114-B</t>
  </si>
  <si>
    <t>300</t>
  </si>
  <si>
    <t>159068115-B</t>
  </si>
  <si>
    <t>1600B8001A</t>
  </si>
  <si>
    <t>1600B8001A-B</t>
  </si>
  <si>
    <t>80223</t>
  </si>
  <si>
    <t>LIGA FERRO FUNDIDO NODULAR 80-55-06 N5</t>
  </si>
  <si>
    <t>MOLDE 1600B8001A-B</t>
  </si>
  <si>
    <t>1600B8002A</t>
  </si>
  <si>
    <t>1600B8002A-B</t>
  </si>
  <si>
    <t>301</t>
  </si>
  <si>
    <t>1600C8002A</t>
  </si>
  <si>
    <t>1600C8002A-B</t>
  </si>
  <si>
    <t>302</t>
  </si>
  <si>
    <t>1600C8003A</t>
  </si>
  <si>
    <t>1600C8003A-B</t>
  </si>
  <si>
    <t>303</t>
  </si>
  <si>
    <t>1600E8006A</t>
  </si>
  <si>
    <t>1600E8006A-B</t>
  </si>
  <si>
    <t>304</t>
  </si>
  <si>
    <t>1600E8007A</t>
  </si>
  <si>
    <t>1600E8007A-B</t>
  </si>
  <si>
    <t>305</t>
  </si>
  <si>
    <t>1600H8006A</t>
  </si>
  <si>
    <t>1600H8006A-B</t>
  </si>
  <si>
    <t>306</t>
  </si>
  <si>
    <t>1600H8007A</t>
  </si>
  <si>
    <t>1600H8007A-B</t>
  </si>
  <si>
    <t>307</t>
  </si>
  <si>
    <t>2.0001.L081980.1</t>
  </si>
  <si>
    <t>2.0001.0200010F-B</t>
  </si>
  <si>
    <t>SOHIPREN DO BRASIL COMERCIAL E INDUSTRIAL LTDA</t>
  </si>
  <si>
    <t>500632</t>
  </si>
  <si>
    <t>CX MOLDE CB 2.0001.0200010F-B</t>
  </si>
  <si>
    <t>2.0001.L081981.1</t>
  </si>
  <si>
    <t>2.0001.0200190F-B</t>
  </si>
  <si>
    <t>500634</t>
  </si>
  <si>
    <t>CX MOLDE CB 2.0001.0200190F-B</t>
  </si>
  <si>
    <t>2.0001.0200250F-B</t>
  </si>
  <si>
    <t>2.0001.0200010.1</t>
  </si>
  <si>
    <t>200062</t>
  </si>
  <si>
    <t>200062-B</t>
  </si>
  <si>
    <t>80245</t>
  </si>
  <si>
    <t>MOLDE DISA 200062-B</t>
  </si>
  <si>
    <t>200107</t>
  </si>
  <si>
    <t>200107-B</t>
  </si>
  <si>
    <t>80244</t>
  </si>
  <si>
    <t>MOLDE DIA 200107-B</t>
  </si>
  <si>
    <t>200144 (FURO 16.5)</t>
  </si>
  <si>
    <t>200144-B</t>
  </si>
  <si>
    <t>50453</t>
  </si>
  <si>
    <t>200144 (FURO 17.5)</t>
  </si>
  <si>
    <t>200144(FURO 14)</t>
  </si>
  <si>
    <t>200147</t>
  </si>
  <si>
    <t>GUERRA IMPLEMENTOS RODOVIARIOS LTDA</t>
  </si>
  <si>
    <t>20027</t>
  </si>
  <si>
    <t>20027B-B</t>
  </si>
  <si>
    <t>80189</t>
  </si>
  <si>
    <t>MOLDE DISA 20027B-B</t>
  </si>
  <si>
    <t>20027B</t>
  </si>
  <si>
    <t>20030</t>
  </si>
  <si>
    <t>20030B-B</t>
  </si>
  <si>
    <t>80190</t>
  </si>
  <si>
    <t>MOLDE DISA 20030B-B</t>
  </si>
  <si>
    <t>20030B</t>
  </si>
  <si>
    <t>20036B</t>
  </si>
  <si>
    <t>20036B-B</t>
  </si>
  <si>
    <t>80191</t>
  </si>
  <si>
    <t>MOLDE DISA 20036B-B</t>
  </si>
  <si>
    <t>20064 (1963003)</t>
  </si>
  <si>
    <t>20064-B</t>
  </si>
  <si>
    <t>ALFA SISTEMAS AUTOMOTIVOS LTDA</t>
  </si>
  <si>
    <t>80176</t>
  </si>
  <si>
    <t>LIGA FERRO FUNDIDO CINZENTO FC-300 C6</t>
  </si>
  <si>
    <t>MOLDE DISA 20064-B</t>
  </si>
  <si>
    <t>201143</t>
  </si>
  <si>
    <t>201143 (03.10314)</t>
  </si>
  <si>
    <t>2.0401.L081983.1</t>
  </si>
  <si>
    <t>2.0401.0201610F-B</t>
  </si>
  <si>
    <t>500636</t>
  </si>
  <si>
    <t>CX MOLDE CB 2.0401.0201610F-B</t>
  </si>
  <si>
    <t>2.0401.0201610.1</t>
  </si>
  <si>
    <t>2.0401.0201690F-B</t>
  </si>
  <si>
    <t>20446 (26058065)</t>
  </si>
  <si>
    <t>20446 (26058065)-B</t>
  </si>
  <si>
    <t>50318</t>
  </si>
  <si>
    <t>DHB GLOBAL SISTEMAS AUTOMOTIVOS S/A</t>
  </si>
  <si>
    <t>CARCACA DA BOMBA</t>
  </si>
  <si>
    <t>2.0501.0203920.1</t>
  </si>
  <si>
    <t>2.0501.0203920F-B</t>
  </si>
  <si>
    <t>50570</t>
  </si>
  <si>
    <t>CX MOLDE 2.0501.0203920F-B</t>
  </si>
  <si>
    <t>208010183</t>
  </si>
  <si>
    <t>RANDON S/A IMPLEMENTOS E PARTICIPACOES</t>
  </si>
  <si>
    <t>RANDON CHAPECO</t>
  </si>
  <si>
    <t>RANDON SA IMPLEMENTOS E PARTICIPACOES ( FILIAL LINHARES )</t>
  </si>
  <si>
    <t>RANDON IMPLEMENTOS E PARTICIPAÇÕES S/A</t>
  </si>
  <si>
    <t>2203112</t>
  </si>
  <si>
    <t>2203112-B</t>
  </si>
  <si>
    <t>50553</t>
  </si>
  <si>
    <t>RODOVALE IND E COM DE EQUIPAMENTOS RODOVIARIOS LTDA</t>
  </si>
  <si>
    <t>MOLDE 2203112-B</t>
  </si>
  <si>
    <t>24SJS-M</t>
  </si>
  <si>
    <t>24SJS-M-B</t>
  </si>
  <si>
    <t>50238</t>
  </si>
  <si>
    <t>24SK-Z</t>
  </si>
  <si>
    <t>24SK-Z-B</t>
  </si>
  <si>
    <t>50207</t>
  </si>
  <si>
    <t>244460</t>
  </si>
  <si>
    <t>208010183-B</t>
  </si>
  <si>
    <t>1056</t>
  </si>
  <si>
    <t>BERTOLINI DA AMAZONIA INDUSTRIA E COMERCIO LTDA</t>
  </si>
  <si>
    <t>CX MOLDE COLD BOX 208010183-B</t>
  </si>
  <si>
    <t>24990000</t>
  </si>
  <si>
    <t>24990000-B</t>
  </si>
  <si>
    <t>1086</t>
  </si>
  <si>
    <t>CAIXA MOLDE CB  24990000</t>
  </si>
  <si>
    <t>2.5005.0203550.1</t>
  </si>
  <si>
    <t>2.5005.0203550.1-B</t>
  </si>
  <si>
    <t>50605</t>
  </si>
  <si>
    <t>CONJ.  MOL. 2.5005.0203550.1-B</t>
  </si>
  <si>
    <t>2527B</t>
  </si>
  <si>
    <t>2527B-B</t>
  </si>
  <si>
    <t>80197</t>
  </si>
  <si>
    <t>MOLDE DISA 2527B-B</t>
  </si>
  <si>
    <t>273283-4001</t>
  </si>
  <si>
    <t>273283-4001-B</t>
  </si>
  <si>
    <t>333</t>
  </si>
  <si>
    <t>273386-4001</t>
  </si>
  <si>
    <t>273386-4001-B</t>
  </si>
  <si>
    <t>334</t>
  </si>
  <si>
    <t>273387-4001</t>
  </si>
  <si>
    <t>273387-4001-B</t>
  </si>
  <si>
    <t>5</t>
  </si>
  <si>
    <t>273527-4002</t>
  </si>
  <si>
    <t>273527-B</t>
  </si>
  <si>
    <t>338</t>
  </si>
  <si>
    <t>273807-4001</t>
  </si>
  <si>
    <t>273807-4001-B</t>
  </si>
  <si>
    <t>80292</t>
  </si>
  <si>
    <t>CONJUNTO MOLDE 273807-4001-B</t>
  </si>
  <si>
    <t>274043-4001</t>
  </si>
  <si>
    <t>274043-B</t>
  </si>
  <si>
    <t>50189</t>
  </si>
  <si>
    <t>274089-4002</t>
  </si>
  <si>
    <t>274089-4002-B</t>
  </si>
  <si>
    <t>956</t>
  </si>
  <si>
    <t>274171-4001</t>
  </si>
  <si>
    <t>274171-4001-B</t>
  </si>
  <si>
    <t>858</t>
  </si>
  <si>
    <t>274301-4001</t>
  </si>
  <si>
    <t>274301-4001-B</t>
  </si>
  <si>
    <t>80092</t>
  </si>
  <si>
    <t>MOLDE DIA 274301-4001-B</t>
  </si>
  <si>
    <t>274302-4001</t>
  </si>
  <si>
    <t>274302-4001-B</t>
  </si>
  <si>
    <t>80087</t>
  </si>
  <si>
    <t>MOLDE DISA 274302-4001-B</t>
  </si>
  <si>
    <t>274304-4001</t>
  </si>
  <si>
    <t>274304-4001-B</t>
  </si>
  <si>
    <t>80089</t>
  </si>
  <si>
    <t>MOLDE DISA 274304-4001-B</t>
  </si>
  <si>
    <t>274305-4001</t>
  </si>
  <si>
    <t>274305-4001-B</t>
  </si>
  <si>
    <t>80090</t>
  </si>
  <si>
    <t>MOLDE DISA 274305-4001-B</t>
  </si>
  <si>
    <t>274430-4001</t>
  </si>
  <si>
    <t>274430-4001-B</t>
  </si>
  <si>
    <t>7</t>
  </si>
  <si>
    <t>HJRAN2</t>
  </si>
  <si>
    <t>134</t>
  </si>
  <si>
    <t>274820-4001</t>
  </si>
  <si>
    <t>274820-4001-B</t>
  </si>
  <si>
    <t>80088</t>
  </si>
  <si>
    <t>MOLDE DISA 274820-4001-B</t>
  </si>
  <si>
    <t>274821-4001</t>
  </si>
  <si>
    <t>274821-4001-B</t>
  </si>
  <si>
    <t>80086</t>
  </si>
  <si>
    <t>MOLDE DISA 274821-4001-B</t>
  </si>
  <si>
    <t>27665000</t>
  </si>
  <si>
    <t>27665000-B</t>
  </si>
  <si>
    <t>1083</t>
  </si>
  <si>
    <t>CAIXA MOLDE CB 27665000</t>
  </si>
  <si>
    <t>300190H</t>
  </si>
  <si>
    <t>300190H-B</t>
  </si>
  <si>
    <t>80137</t>
  </si>
  <si>
    <t>HUBBELL DO BRASIL IND. E COM., IMPORT. E EXPORT. DE EQUIP. ELETR. LTDA</t>
  </si>
  <si>
    <t>MOLDE DISA 300190H-B</t>
  </si>
  <si>
    <t>30427B</t>
  </si>
  <si>
    <t>30427B-B</t>
  </si>
  <si>
    <t>80306</t>
  </si>
  <si>
    <t>FERRAMENTA 30427B-B</t>
  </si>
  <si>
    <t>30430B</t>
  </si>
  <si>
    <t>30430B-B</t>
  </si>
  <si>
    <t>80307</t>
  </si>
  <si>
    <t>LIGA FERRO FUNDIDO CINZENTO FC-200 C1</t>
  </si>
  <si>
    <t>FERRAMENTA 30430B-B</t>
  </si>
  <si>
    <t>30436B</t>
  </si>
  <si>
    <t>30436B-B</t>
  </si>
  <si>
    <t>80305</t>
  </si>
  <si>
    <t>MOLDE 30436B-B</t>
  </si>
  <si>
    <t>3114C111</t>
  </si>
  <si>
    <t>3114C111-B</t>
  </si>
  <si>
    <t>50092</t>
  </si>
  <si>
    <t>PERKINS MOTORES DO BRASIL LTDA</t>
  </si>
  <si>
    <t>3115A049</t>
  </si>
  <si>
    <t>3115A049-B</t>
  </si>
  <si>
    <t>50113</t>
  </si>
  <si>
    <t>3115A049-B /</t>
  </si>
  <si>
    <t>3115A121</t>
  </si>
  <si>
    <t>3115A121-B</t>
  </si>
  <si>
    <t>80349</t>
  </si>
  <si>
    <t>CJ MOLDE DISA 3114A121-B</t>
  </si>
  <si>
    <t>3115A141</t>
  </si>
  <si>
    <t>3115A141-B</t>
  </si>
  <si>
    <t>50093</t>
  </si>
  <si>
    <t>3115A151</t>
  </si>
  <si>
    <t>3115A151-B</t>
  </si>
  <si>
    <t>50114</t>
  </si>
  <si>
    <t>3115H003</t>
  </si>
  <si>
    <t>3115H003-B</t>
  </si>
  <si>
    <t>50112</t>
  </si>
  <si>
    <t>3127300000</t>
  </si>
  <si>
    <t>3127300000-B</t>
  </si>
  <si>
    <t>80201</t>
  </si>
  <si>
    <t>314136</t>
  </si>
  <si>
    <t>314136-B</t>
  </si>
  <si>
    <t>50388</t>
  </si>
  <si>
    <t>MOLDE 314136-B (DISA)</t>
  </si>
  <si>
    <t>314136R</t>
  </si>
  <si>
    <t>320433</t>
  </si>
  <si>
    <t>320433-B</t>
  </si>
  <si>
    <t>80316</t>
  </si>
  <si>
    <t>CJ MOLDE DISA 320433-B</t>
  </si>
  <si>
    <t>3238107000</t>
  </si>
  <si>
    <t>3238107000-B</t>
  </si>
  <si>
    <t>50321</t>
  </si>
  <si>
    <t>3238110000</t>
  </si>
  <si>
    <t>3238110000-B</t>
  </si>
  <si>
    <t>50320</t>
  </si>
  <si>
    <t>3243010000</t>
  </si>
  <si>
    <t>3243010000-B</t>
  </si>
  <si>
    <t>1317</t>
  </si>
  <si>
    <t>CX MOLDE CB 3243010000-B</t>
  </si>
  <si>
    <t>3245020001</t>
  </si>
  <si>
    <t>3245020001-B</t>
  </si>
  <si>
    <t>50326</t>
  </si>
  <si>
    <t>3248115000</t>
  </si>
  <si>
    <t>3248115000-B</t>
  </si>
  <si>
    <t>50325</t>
  </si>
  <si>
    <t>330-1725</t>
  </si>
  <si>
    <t>321-9974-B</t>
  </si>
  <si>
    <t>50355</t>
  </si>
  <si>
    <t>PLACA DISA 321-9974</t>
  </si>
  <si>
    <t>347-7045</t>
  </si>
  <si>
    <t>347-7045-B</t>
  </si>
  <si>
    <t>50357</t>
  </si>
  <si>
    <t>35036AB</t>
  </si>
  <si>
    <t>35036AB-B</t>
  </si>
  <si>
    <t>80243</t>
  </si>
  <si>
    <t>MOLDE DISA 35036AB-B</t>
  </si>
  <si>
    <t>3504801000</t>
  </si>
  <si>
    <t>3504801000-B</t>
  </si>
  <si>
    <t>50554</t>
  </si>
  <si>
    <t>MOLDE 3504801000-B</t>
  </si>
  <si>
    <t>371-8298</t>
  </si>
  <si>
    <t>371-8298-B</t>
  </si>
  <si>
    <t>50387</t>
  </si>
  <si>
    <t>MOLDE COLD BOX 371-8298-B</t>
  </si>
  <si>
    <t>3824A261</t>
  </si>
  <si>
    <t>3824A261-B</t>
  </si>
  <si>
    <t>80350</t>
  </si>
  <si>
    <t>CJ MOLDE 3824A261-B</t>
  </si>
  <si>
    <t>3824A271</t>
  </si>
  <si>
    <t>3824A271-B</t>
  </si>
  <si>
    <t>50356</t>
  </si>
  <si>
    <t>385-4381</t>
  </si>
  <si>
    <t>385-4381-B</t>
  </si>
  <si>
    <t>50374</t>
  </si>
  <si>
    <t>393636A1</t>
  </si>
  <si>
    <t>393636A1-B</t>
  </si>
  <si>
    <t>50264</t>
  </si>
  <si>
    <t>394-4451</t>
  </si>
  <si>
    <t>394-4442-B</t>
  </si>
  <si>
    <t>50353</t>
  </si>
  <si>
    <t>PLACA DISA 394-4442</t>
  </si>
  <si>
    <t>400553-F-FE</t>
  </si>
  <si>
    <t>400553H-B</t>
  </si>
  <si>
    <t>80132</t>
  </si>
  <si>
    <t>MOLDE DISA 400553H-B</t>
  </si>
  <si>
    <t>400553H-01</t>
  </si>
  <si>
    <t>400553H-02</t>
  </si>
  <si>
    <t>400736H-01</t>
  </si>
  <si>
    <t>400736H-B</t>
  </si>
  <si>
    <t>80133</t>
  </si>
  <si>
    <t>MOLDE DISA 400736H-B</t>
  </si>
  <si>
    <t>400736H-02</t>
  </si>
  <si>
    <t>414943A1</t>
  </si>
  <si>
    <t>414943A1-B</t>
  </si>
  <si>
    <t>50257</t>
  </si>
  <si>
    <t>440-8635</t>
  </si>
  <si>
    <t>440-8635-B</t>
  </si>
  <si>
    <t>50360</t>
  </si>
  <si>
    <t>440-8636</t>
  </si>
  <si>
    <t>440-8636-B</t>
  </si>
  <si>
    <t>50370</t>
  </si>
  <si>
    <t>PLACA DISA 440-8636</t>
  </si>
  <si>
    <t>5K091363/4-(3/4")</t>
  </si>
  <si>
    <t>5K591210/4-B</t>
  </si>
  <si>
    <t>50338</t>
  </si>
  <si>
    <t>5K591210/4</t>
  </si>
  <si>
    <t>5K091385/4-(M20)</t>
  </si>
  <si>
    <t>5K092544</t>
  </si>
  <si>
    <t>5K591210/4-(M16)</t>
  </si>
  <si>
    <t>50036AB</t>
  </si>
  <si>
    <t>50036AB-B</t>
  </si>
  <si>
    <t>80246</t>
  </si>
  <si>
    <t>MOLDE DISA 50036AB-B</t>
  </si>
  <si>
    <t>5004CC-H</t>
  </si>
  <si>
    <t>HUSCO HYDRAULIC SHANGHAI, LTD.</t>
  </si>
  <si>
    <t>5004CC-H7</t>
  </si>
  <si>
    <t>50512310</t>
  </si>
  <si>
    <t>50512310-B</t>
  </si>
  <si>
    <t>BITZER COMPRESSORES LTDA</t>
  </si>
  <si>
    <t>50597</t>
  </si>
  <si>
    <t>CONJUNTO MOLDE CB 50512310-B</t>
  </si>
  <si>
    <t>56.01.13 (FURO 14.0)</t>
  </si>
  <si>
    <t>1893-G-B</t>
  </si>
  <si>
    <t>50352</t>
  </si>
  <si>
    <t>56.01.14 (FURO 17.5)</t>
  </si>
  <si>
    <t>56.01.94 (FURO 14.0)</t>
  </si>
  <si>
    <t>200115-B</t>
  </si>
  <si>
    <t>40190</t>
  </si>
  <si>
    <t>56.01.95 (FURO 17.5)</t>
  </si>
  <si>
    <t>5736B</t>
  </si>
  <si>
    <t>5736B-B</t>
  </si>
  <si>
    <t>80240</t>
  </si>
  <si>
    <t>MOLDE 5736B-B</t>
  </si>
  <si>
    <t>6020059371-8</t>
  </si>
  <si>
    <t>6020059371-8-B</t>
  </si>
  <si>
    <t>80179</t>
  </si>
  <si>
    <t>BALDAN IMPLEMENTOS AGRICOLAS S/A</t>
  </si>
  <si>
    <t>PLACA DISA 6020601584-8</t>
  </si>
  <si>
    <t>6020311300-8</t>
  </si>
  <si>
    <t>6020311300-8-B</t>
  </si>
  <si>
    <t>80180</t>
  </si>
  <si>
    <t>MOLDE DISA 6010601585-6-B</t>
  </si>
  <si>
    <t>602734</t>
  </si>
  <si>
    <t>602734-B</t>
  </si>
  <si>
    <t>926</t>
  </si>
  <si>
    <t>PFISTERER NORTH AMERICA INC.</t>
  </si>
  <si>
    <t>PFISTERER NORTH AMERICA</t>
  </si>
  <si>
    <t>603152</t>
  </si>
  <si>
    <t>603152-B</t>
  </si>
  <si>
    <t>1057</t>
  </si>
  <si>
    <t>603155</t>
  </si>
  <si>
    <t>603155-B</t>
  </si>
  <si>
    <t>80045</t>
  </si>
  <si>
    <t>605762</t>
  </si>
  <si>
    <t>605762-B</t>
  </si>
  <si>
    <t>963</t>
  </si>
  <si>
    <t>LAPP INSULATORS GMBH</t>
  </si>
  <si>
    <t>7003715C1 (6408)</t>
  </si>
  <si>
    <t>7003715C1 (6408)-B</t>
  </si>
  <si>
    <t>50322</t>
  </si>
  <si>
    <t>7003715C1</t>
  </si>
  <si>
    <t>7004131C91 (20725)</t>
  </si>
  <si>
    <t>7004131C91 (20725)-B</t>
  </si>
  <si>
    <t>50324</t>
  </si>
  <si>
    <t>7004131C91</t>
  </si>
  <si>
    <t>75157F</t>
  </si>
  <si>
    <t>75157F-B</t>
  </si>
  <si>
    <t>997</t>
  </si>
  <si>
    <t>DYNAMICS DO BRASIL METALURGICA LTDA</t>
  </si>
  <si>
    <t>827836</t>
  </si>
  <si>
    <t>827836-B</t>
  </si>
  <si>
    <t>50256</t>
  </si>
  <si>
    <t>827850</t>
  </si>
  <si>
    <t>827850-B</t>
  </si>
  <si>
    <t>50270</t>
  </si>
  <si>
    <t>827867</t>
  </si>
  <si>
    <t>827867-B</t>
  </si>
  <si>
    <t>50263</t>
  </si>
  <si>
    <t>84287971</t>
  </si>
  <si>
    <t>84287971-B</t>
  </si>
  <si>
    <t>50250</t>
  </si>
  <si>
    <t>87629287</t>
  </si>
  <si>
    <t>87629287-B</t>
  </si>
  <si>
    <t>50260</t>
  </si>
  <si>
    <t>90170-4001</t>
  </si>
  <si>
    <t>90170-4001-B</t>
  </si>
  <si>
    <t>443</t>
  </si>
  <si>
    <t>91070005</t>
  </si>
  <si>
    <t>ACO PECAS DEMORE LTDA</t>
  </si>
  <si>
    <t>9304-262817</t>
  </si>
  <si>
    <t>9304-262817-B</t>
  </si>
  <si>
    <t>1309</t>
  </si>
  <si>
    <t>CAIXA MOLDE 9304-262817-B</t>
  </si>
  <si>
    <t>9304-263216</t>
  </si>
  <si>
    <t>9304-263216-B</t>
  </si>
  <si>
    <t>1312</t>
  </si>
  <si>
    <t>CAIXA MOLDE 9304-263216-B</t>
  </si>
  <si>
    <t>9304-265063</t>
  </si>
  <si>
    <t>9511080566</t>
  </si>
  <si>
    <t>9511080566-B</t>
  </si>
  <si>
    <t>1201</t>
  </si>
  <si>
    <t>LIGA FERRO FUNDIDO NODULAR 65-45-12- FN04</t>
  </si>
  <si>
    <t>CAIXA MOLDE 9511080566-B</t>
  </si>
  <si>
    <t>9527198</t>
  </si>
  <si>
    <t>9527198-B</t>
  </si>
  <si>
    <t>50546</t>
  </si>
  <si>
    <t>LIBRELATO S/A IMPLEMENTOS RODOVIÁRIOS</t>
  </si>
  <si>
    <t>PERFIL G 9527198-B</t>
  </si>
  <si>
    <t>9541082271</t>
  </si>
  <si>
    <t>9541082271-B</t>
  </si>
  <si>
    <t>1185</t>
  </si>
  <si>
    <t>CAIXA MOLDE 9541082271-B</t>
  </si>
  <si>
    <t>9689DF</t>
  </si>
  <si>
    <t>9689DF-B</t>
  </si>
  <si>
    <t>50583</t>
  </si>
  <si>
    <t>CJ MOLDE 9689DF-B</t>
  </si>
  <si>
    <t>9833631</t>
  </si>
  <si>
    <t>9833631-B</t>
  </si>
  <si>
    <t>50255</t>
  </si>
  <si>
    <t>Família</t>
  </si>
  <si>
    <t>PINO CONCHA</t>
  </si>
  <si>
    <t>BRACKET</t>
  </si>
  <si>
    <t>ENGRENAGEM</t>
  </si>
  <si>
    <t>FLANGE</t>
  </si>
  <si>
    <t>SINO</t>
  </si>
  <si>
    <t>RODINHA</t>
  </si>
  <si>
    <t>CAMPÂNULA CONCHA</t>
  </si>
  <si>
    <t>TELEFONE</t>
  </si>
  <si>
    <t>CORPO DE VÁLVULA COM MACHO</t>
  </si>
  <si>
    <t>INSERTO/ FOCINHO DE PORCO</t>
  </si>
  <si>
    <t xml:space="preserve">INSERTO </t>
  </si>
  <si>
    <t>CSJ-155-B</t>
  </si>
  <si>
    <t>CAMPÂNULA</t>
  </si>
  <si>
    <t>LUVA</t>
  </si>
  <si>
    <t>SAPATÃO</t>
  </si>
  <si>
    <t>COELHO</t>
  </si>
  <si>
    <t>GANSO</t>
  </si>
  <si>
    <t>SEM FAMÍLIA</t>
  </si>
  <si>
    <t>BASE SAPATÃO</t>
  </si>
  <si>
    <t>BASE PEDESTAL</t>
  </si>
  <si>
    <t>TAÇA</t>
  </si>
  <si>
    <t>TOCO</t>
  </si>
  <si>
    <t>REVOLVER</t>
  </si>
  <si>
    <t>PATA DE VACA</t>
  </si>
  <si>
    <t>CAMPÂNULA GARFO</t>
  </si>
  <si>
    <t>FOGAREIRO</t>
  </si>
  <si>
    <t>ESTRELA</t>
  </si>
  <si>
    <t>TERMINAL OLHAL</t>
  </si>
  <si>
    <t>TERMINAL GARFO</t>
  </si>
  <si>
    <t>TAÇA BASE</t>
  </si>
  <si>
    <t>FLANGE TAÇA</t>
  </si>
  <si>
    <t>ABRAÇADEIRA</t>
  </si>
  <si>
    <t>P653-1591-B</t>
  </si>
  <si>
    <t>PÉ DE PATO</t>
  </si>
  <si>
    <t>P-70829-B</t>
  </si>
  <si>
    <t>ROLDANA</t>
  </si>
  <si>
    <t>GRAMPO</t>
  </si>
  <si>
    <t>BASE TAÇA</t>
  </si>
  <si>
    <t>TAMPA</t>
  </si>
  <si>
    <t>MANCAL</t>
  </si>
  <si>
    <t>GARFO CONCHA</t>
  </si>
  <si>
    <t>HIDRÁULICO MACIÇO</t>
  </si>
  <si>
    <t>EMBOLO</t>
  </si>
  <si>
    <t xml:space="preserve">BASE </t>
  </si>
  <si>
    <t>11295620-B</t>
  </si>
  <si>
    <t>11295913-B</t>
  </si>
  <si>
    <t>11296367-B</t>
  </si>
  <si>
    <t>11296377-B</t>
  </si>
  <si>
    <t>PORCA</t>
  </si>
  <si>
    <t>POLIA</t>
  </si>
  <si>
    <t>CARDAN</t>
  </si>
  <si>
    <t xml:space="preserve">PINO  </t>
  </si>
  <si>
    <t>BASE</t>
  </si>
  <si>
    <t>CARCAÇA DE BOMBA</t>
  </si>
  <si>
    <t>CORPO DE BOMBA</t>
  </si>
  <si>
    <t>FLANGE DE BOMBA</t>
  </si>
  <si>
    <t>Válvula Nível 1</t>
  </si>
  <si>
    <t>Válvula Nível 2</t>
  </si>
  <si>
    <t>Válvula Nível 3</t>
  </si>
  <si>
    <t>Válvula Nível 4</t>
  </si>
  <si>
    <t>Válvula Nível 5</t>
  </si>
  <si>
    <t>Válvula Nível 6</t>
  </si>
  <si>
    <t>FAMILÍA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</si>
</sst>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840FE-D3BD-49A4-BE7F-BF6A411EAD47}" name="Tabela2" displayName="Tabela2" ref="A1:B563" totalsRowShown="0" headerRowDxfId="3" dataDxfId="2">
  <autoFilter ref="A1:B563" xr:uid="{ABD840FE-D3BD-49A4-BE7F-BF6A411EAD47}"/>
  <sortState xmlns:xlrd2="http://schemas.microsoft.com/office/spreadsheetml/2017/richdata2" ref="A2:B563">
    <sortCondition ref="B1:B563"/>
  </sortState>
  <tableColumns count="2">
    <tableColumn id="1" xr3:uid="{BE3AD1B3-FEA1-4579-A17F-417B7D116E12}" name="ITEM_BRT" dataDxfId="1"/>
    <tableColumn id="2" xr3:uid="{F17C26CE-B92F-4797-AA11-76C2E1ACEBA2}" name="Famíl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652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5"/>
  <cols>
    <col min="1" max="5" width="23.7109375" customWidth="1"/>
    <col min="6" max="6" width="25" customWidth="1"/>
    <col min="11" max="11" width="14.85546875" customWidth="1"/>
    <col min="15" max="15" width="47.7109375" bestFit="1" customWidth="1"/>
    <col min="16" max="22" width="21.7109375" customWidth="1"/>
    <col min="23" max="23" width="18.28515625" bestFit="1" customWidth="1"/>
    <col min="24" max="24" width="21.140625" bestFit="1" customWidth="1"/>
    <col min="26" max="26" width="31.42578125" bestFit="1" customWidth="1"/>
    <col min="27" max="27" width="26.28515625" bestFit="1" customWidth="1"/>
    <col min="28" max="28" width="29.140625" bestFit="1" customWidth="1"/>
    <col min="29" max="29" width="19.7109375" bestFit="1" customWidth="1"/>
    <col min="30" max="30" width="25.140625" bestFit="1" customWidth="1"/>
    <col min="31" max="31" width="19.7109375" bestFit="1" customWidth="1"/>
    <col min="32" max="32" width="14.28515625" bestFit="1" customWidth="1"/>
    <col min="33" max="33" width="18.85546875" bestFit="1" customWidth="1"/>
    <col min="34" max="34" width="21.42578125" bestFit="1" customWidth="1"/>
    <col min="35" max="35" width="17.42578125" bestFit="1" customWidth="1"/>
    <col min="36" max="36" width="30.5703125" bestFit="1" customWidth="1"/>
    <col min="37" max="37" width="25.42578125" bestFit="1" customWidth="1"/>
    <col min="38" max="38" width="28.28515625" bestFit="1" customWidth="1"/>
    <col min="39" max="39" width="18.7109375" bestFit="1" customWidth="1"/>
    <col min="40" max="40" width="24.28515625" bestFit="1" customWidth="1"/>
    <col min="41" max="41" width="18.7109375" bestFit="1" customWidth="1"/>
    <col min="42" max="42" width="32.85546875" bestFit="1" customWidth="1"/>
    <col min="43" max="43" width="10.28515625" bestFit="1" customWidth="1"/>
    <col min="44" max="44" width="40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1964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>
      <c r="A2" s="1">
        <v>51510</v>
      </c>
      <c r="B2" s="1">
        <v>51516</v>
      </c>
      <c r="C2" s="1">
        <v>46133</v>
      </c>
      <c r="D2" t="s">
        <v>43</v>
      </c>
      <c r="E2" t="s">
        <v>44</v>
      </c>
      <c r="F2" t="str">
        <f>VLOOKUP(E2,Tabela2[#All],2,FALSE)</f>
        <v>PINO CONCHA</v>
      </c>
      <c r="G2" t="s">
        <v>45</v>
      </c>
      <c r="H2" s="1">
        <v>1.18</v>
      </c>
      <c r="I2" s="1">
        <v>1.18</v>
      </c>
      <c r="J2" t="s">
        <v>46</v>
      </c>
      <c r="K2" s="1">
        <v>46.603476000000001</v>
      </c>
      <c r="L2" s="1">
        <v>5</v>
      </c>
      <c r="M2" s="1">
        <v>12.66</v>
      </c>
      <c r="N2" s="1">
        <v>32900</v>
      </c>
      <c r="O2" t="s">
        <v>47</v>
      </c>
      <c r="P2" t="s">
        <v>48</v>
      </c>
      <c r="Q2" t="s">
        <v>49</v>
      </c>
      <c r="R2" t="s">
        <v>50</v>
      </c>
      <c r="S2" t="s">
        <v>50</v>
      </c>
      <c r="T2" s="1">
        <v>29.18020885</v>
      </c>
      <c r="U2" s="1">
        <v>13.44884675</v>
      </c>
      <c r="V2" s="1">
        <v>3.3820800000000002</v>
      </c>
      <c r="W2" s="1">
        <v>1.3982292000000001</v>
      </c>
      <c r="X2" s="1">
        <v>0.33</v>
      </c>
      <c r="Y2" s="1">
        <v>0.11899999999999999</v>
      </c>
      <c r="Z2" s="1">
        <v>1.875</v>
      </c>
      <c r="AA2" s="1">
        <v>2.9708299999999999</v>
      </c>
      <c r="AB2" t="s">
        <v>50</v>
      </c>
      <c r="AC2" s="1">
        <v>0.31159999999999999</v>
      </c>
      <c r="AD2" t="s">
        <v>50</v>
      </c>
      <c r="AE2" t="s">
        <v>50</v>
      </c>
      <c r="AF2" s="1">
        <v>0.13650000000000001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44</v>
      </c>
      <c r="AQ2" s="1">
        <v>2942</v>
      </c>
      <c r="AR2" t="s">
        <v>51</v>
      </c>
    </row>
    <row r="3" spans="1:44">
      <c r="A3" s="1">
        <v>51512</v>
      </c>
      <c r="B3" s="1">
        <v>51517</v>
      </c>
      <c r="C3" s="1">
        <v>46135</v>
      </c>
      <c r="D3" t="s">
        <v>52</v>
      </c>
      <c r="E3" t="s">
        <v>53</v>
      </c>
      <c r="F3" t="str">
        <f>VLOOKUP(E3,Tabela2[#All],2,FALSE)</f>
        <v>PINO CONCHA</v>
      </c>
      <c r="G3" t="s">
        <v>54</v>
      </c>
      <c r="H3" s="1">
        <v>0.9</v>
      </c>
      <c r="I3" s="1">
        <v>0.9</v>
      </c>
      <c r="J3" t="s">
        <v>46</v>
      </c>
      <c r="K3" s="1">
        <v>44.256757</v>
      </c>
      <c r="L3" s="1">
        <v>5</v>
      </c>
      <c r="M3" s="1">
        <v>14.8</v>
      </c>
      <c r="N3" s="1">
        <v>32900</v>
      </c>
      <c r="O3" t="s">
        <v>47</v>
      </c>
      <c r="P3" t="s">
        <v>48</v>
      </c>
      <c r="Q3" t="s">
        <v>49</v>
      </c>
      <c r="R3" t="s">
        <v>50</v>
      </c>
      <c r="S3" t="s">
        <v>50</v>
      </c>
      <c r="T3" s="1">
        <v>28.801211309999999</v>
      </c>
      <c r="U3" s="1">
        <v>14.410627549999999</v>
      </c>
      <c r="V3" s="1">
        <v>3.8370799999999998</v>
      </c>
      <c r="W3" s="1">
        <v>1.066446</v>
      </c>
      <c r="X3" s="1">
        <v>0.33</v>
      </c>
      <c r="Y3" s="1">
        <v>0.1074</v>
      </c>
      <c r="Z3" s="1">
        <v>2.2210999999999999</v>
      </c>
      <c r="AA3" s="1">
        <v>3.3001</v>
      </c>
      <c r="AB3" t="s">
        <v>50</v>
      </c>
      <c r="AC3" s="1">
        <v>0.31159999999999999</v>
      </c>
      <c r="AD3" t="s">
        <v>50</v>
      </c>
      <c r="AE3" t="s">
        <v>50</v>
      </c>
      <c r="AF3" s="1">
        <v>0.16350000000000001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52</v>
      </c>
      <c r="AQ3" s="1">
        <v>2923</v>
      </c>
      <c r="AR3" t="s">
        <v>51</v>
      </c>
    </row>
    <row r="4" spans="1:44">
      <c r="A4" s="1">
        <v>54599</v>
      </c>
      <c r="B4" s="1">
        <v>54606</v>
      </c>
      <c r="C4" s="1">
        <v>48908</v>
      </c>
      <c r="D4" t="s">
        <v>55</v>
      </c>
      <c r="E4" t="s">
        <v>56</v>
      </c>
      <c r="F4" t="str">
        <f>VLOOKUP(E4,Tabela2[#All],2,FALSE)</f>
        <v>BRACKET</v>
      </c>
      <c r="G4" t="s">
        <v>57</v>
      </c>
      <c r="H4" s="1">
        <v>6.07</v>
      </c>
      <c r="I4" s="1">
        <v>6.07</v>
      </c>
      <c r="J4" t="s">
        <v>46</v>
      </c>
      <c r="K4" s="1">
        <v>52.586207000000002</v>
      </c>
      <c r="L4" s="1">
        <v>1</v>
      </c>
      <c r="M4" s="1">
        <v>11.6</v>
      </c>
      <c r="N4" s="1">
        <v>45295</v>
      </c>
      <c r="O4" t="s">
        <v>58</v>
      </c>
      <c r="P4" t="s">
        <v>59</v>
      </c>
      <c r="Q4" t="s">
        <v>60</v>
      </c>
      <c r="R4" t="s">
        <v>50</v>
      </c>
      <c r="S4" t="s">
        <v>50</v>
      </c>
      <c r="T4" s="1">
        <v>51.722612400000003</v>
      </c>
      <c r="U4" s="1">
        <v>48.037356410000001</v>
      </c>
      <c r="V4" s="1">
        <v>0</v>
      </c>
      <c r="W4" s="1">
        <v>0</v>
      </c>
      <c r="X4" t="s">
        <v>50</v>
      </c>
      <c r="Y4" s="1">
        <v>5.5E-2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s="1">
        <v>1</v>
      </c>
      <c r="AF4" s="1">
        <v>0.79800000000000004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61</v>
      </c>
      <c r="AQ4" s="1">
        <v>3537</v>
      </c>
      <c r="AR4" t="s">
        <v>51</v>
      </c>
    </row>
    <row r="5" spans="1:44">
      <c r="A5" s="1">
        <v>32349</v>
      </c>
      <c r="B5" s="1">
        <v>32128</v>
      </c>
      <c r="C5" s="1">
        <v>31455</v>
      </c>
      <c r="D5" t="s">
        <v>62</v>
      </c>
      <c r="E5" t="s">
        <v>63</v>
      </c>
      <c r="F5" t="str">
        <f>VLOOKUP(E5,Tabela2[#All],2,FALSE)</f>
        <v>Válvula Nível 4</v>
      </c>
      <c r="G5" t="s">
        <v>64</v>
      </c>
      <c r="H5" s="1">
        <v>1.54</v>
      </c>
      <c r="I5" s="1">
        <v>1.54</v>
      </c>
      <c r="J5" t="s">
        <v>65</v>
      </c>
      <c r="K5" s="1">
        <v>69.666667000000004</v>
      </c>
      <c r="L5" s="1">
        <v>3.5</v>
      </c>
      <c r="M5" s="1">
        <v>10.5</v>
      </c>
      <c r="N5" s="1">
        <v>36441</v>
      </c>
      <c r="O5" t="s">
        <v>66</v>
      </c>
      <c r="P5" t="s">
        <v>67</v>
      </c>
      <c r="Q5" t="s">
        <v>68</v>
      </c>
      <c r="R5" s="1">
        <v>1.7000000000000001E-2</v>
      </c>
      <c r="S5" s="1">
        <v>0.32</v>
      </c>
      <c r="T5" s="1">
        <v>48.754597580000002</v>
      </c>
      <c r="U5" s="1">
        <v>23.661307579999999</v>
      </c>
      <c r="V5" s="1">
        <v>0</v>
      </c>
      <c r="W5" s="1">
        <v>0</v>
      </c>
      <c r="X5" t="s">
        <v>50</v>
      </c>
      <c r="Y5" t="s">
        <v>50</v>
      </c>
      <c r="Z5" t="s">
        <v>50</v>
      </c>
      <c r="AA5" t="s">
        <v>50</v>
      </c>
      <c r="AB5" s="1">
        <v>7</v>
      </c>
      <c r="AC5" t="s">
        <v>50</v>
      </c>
      <c r="AD5" t="s">
        <v>50</v>
      </c>
      <c r="AE5" t="s">
        <v>50</v>
      </c>
      <c r="AF5" t="s">
        <v>50</v>
      </c>
      <c r="AG5" s="1">
        <v>0.14280000000000001</v>
      </c>
      <c r="AH5" s="1">
        <v>0.434</v>
      </c>
      <c r="AI5" s="1">
        <v>5.7500000000000002E-2</v>
      </c>
      <c r="AJ5" t="s">
        <v>50</v>
      </c>
      <c r="AK5" t="s">
        <v>50</v>
      </c>
      <c r="AL5" t="s">
        <v>50</v>
      </c>
      <c r="AM5" t="s">
        <v>50</v>
      </c>
      <c r="AN5" s="1">
        <v>2.1</v>
      </c>
      <c r="AO5" t="s">
        <v>50</v>
      </c>
      <c r="AP5" t="s">
        <v>69</v>
      </c>
      <c r="AQ5" s="1">
        <v>2206</v>
      </c>
      <c r="AR5" t="s">
        <v>70</v>
      </c>
    </row>
    <row r="6" spans="1:44">
      <c r="A6" s="1">
        <v>73477</v>
      </c>
      <c r="B6" s="1">
        <v>73479</v>
      </c>
      <c r="C6" s="1">
        <v>66410</v>
      </c>
      <c r="D6" t="s">
        <v>71</v>
      </c>
      <c r="E6" t="s">
        <v>72</v>
      </c>
      <c r="F6" t="str">
        <f>VLOOKUP(E6,Tabela2[#All],2,FALSE)</f>
        <v>ENGRENAGEM</v>
      </c>
      <c r="G6" t="s">
        <v>73</v>
      </c>
      <c r="H6" s="1">
        <v>1.66</v>
      </c>
      <c r="I6" s="1">
        <v>1.66</v>
      </c>
      <c r="J6" t="s">
        <v>46</v>
      </c>
      <c r="K6" s="1">
        <v>55.002831</v>
      </c>
      <c r="L6" s="1">
        <v>4</v>
      </c>
      <c r="M6" s="1">
        <v>12.363</v>
      </c>
      <c r="N6" s="1">
        <v>33009</v>
      </c>
      <c r="O6" t="s">
        <v>74</v>
      </c>
      <c r="P6" t="s">
        <v>75</v>
      </c>
      <c r="Q6" t="s">
        <v>76</v>
      </c>
      <c r="R6" t="s">
        <v>50</v>
      </c>
      <c r="S6" t="s">
        <v>50</v>
      </c>
      <c r="T6" s="1">
        <v>0.100425</v>
      </c>
      <c r="U6" s="1">
        <v>15.408848020000001</v>
      </c>
      <c r="V6" s="1">
        <v>0</v>
      </c>
      <c r="W6" s="1">
        <v>0</v>
      </c>
      <c r="X6" t="s">
        <v>50</v>
      </c>
      <c r="Y6" s="1">
        <v>3.2500000000000001E-2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s="1">
        <v>0.2046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77</v>
      </c>
      <c r="AQ6" s="1">
        <v>7067</v>
      </c>
      <c r="AR6" t="s">
        <v>51</v>
      </c>
    </row>
    <row r="7" spans="1:44">
      <c r="A7" s="1">
        <v>85787</v>
      </c>
      <c r="B7" s="1">
        <v>85789</v>
      </c>
      <c r="C7" s="1">
        <v>78026</v>
      </c>
      <c r="D7" t="s">
        <v>78</v>
      </c>
      <c r="E7" t="s">
        <v>79</v>
      </c>
      <c r="F7" t="str">
        <f>VLOOKUP(E7,Tabela2[#All],2,FALSE)</f>
        <v>FLANGE</v>
      </c>
      <c r="G7" t="s">
        <v>80</v>
      </c>
      <c r="H7" s="1">
        <v>6.41</v>
      </c>
      <c r="I7" s="1">
        <v>6.41</v>
      </c>
      <c r="J7" t="s">
        <v>46</v>
      </c>
      <c r="K7" s="1">
        <v>54.553049000000001</v>
      </c>
      <c r="L7" s="1">
        <v>1</v>
      </c>
      <c r="M7" s="1">
        <v>11.97</v>
      </c>
      <c r="N7" s="1">
        <v>32958</v>
      </c>
      <c r="O7" t="s">
        <v>81</v>
      </c>
      <c r="P7" t="s">
        <v>82</v>
      </c>
      <c r="Q7" t="s">
        <v>49</v>
      </c>
      <c r="R7" t="s">
        <v>50</v>
      </c>
      <c r="S7" t="s">
        <v>50</v>
      </c>
      <c r="T7" s="1">
        <v>74.121801450000007</v>
      </c>
      <c r="U7" s="1">
        <v>52.700832339999998</v>
      </c>
      <c r="V7" s="1">
        <v>0</v>
      </c>
      <c r="W7" s="1">
        <v>7.5954654000000001</v>
      </c>
      <c r="X7" t="s">
        <v>50</v>
      </c>
      <c r="Y7" s="1">
        <v>0.45710000000000001</v>
      </c>
      <c r="Z7" s="1">
        <v>0.48830000000000001</v>
      </c>
      <c r="AA7" t="s">
        <v>50</v>
      </c>
      <c r="AB7" t="s">
        <v>50</v>
      </c>
      <c r="AC7" s="1">
        <v>2</v>
      </c>
      <c r="AD7" t="s">
        <v>50</v>
      </c>
      <c r="AE7" s="1">
        <v>0.35289999999999999</v>
      </c>
      <c r="AF7" s="1">
        <v>0.9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83</v>
      </c>
      <c r="AQ7" s="1">
        <v>8127</v>
      </c>
      <c r="AR7" t="s">
        <v>51</v>
      </c>
    </row>
    <row r="8" spans="1:44">
      <c r="A8" s="1">
        <v>117833</v>
      </c>
      <c r="B8" s="1">
        <v>117832</v>
      </c>
      <c r="C8" s="1">
        <v>100213</v>
      </c>
      <c r="D8" t="s">
        <v>84</v>
      </c>
      <c r="E8" t="s">
        <v>85</v>
      </c>
      <c r="F8" t="str">
        <f>VLOOKUP(E8,Tabela2[#All],2,FALSE)</f>
        <v>BASE PEDESTAL</v>
      </c>
      <c r="G8" t="s">
        <v>86</v>
      </c>
      <c r="H8" s="1">
        <v>1.75</v>
      </c>
      <c r="I8" s="1">
        <v>1.75</v>
      </c>
      <c r="J8" t="s">
        <v>46</v>
      </c>
      <c r="K8" s="1">
        <v>56.765676999999997</v>
      </c>
      <c r="L8" s="1">
        <v>4</v>
      </c>
      <c r="M8" s="1">
        <v>12.12</v>
      </c>
      <c r="N8" s="1">
        <v>32958</v>
      </c>
      <c r="O8" t="s">
        <v>81</v>
      </c>
      <c r="P8" t="s">
        <v>82</v>
      </c>
      <c r="Q8" t="s">
        <v>49</v>
      </c>
      <c r="R8" t="s">
        <v>50</v>
      </c>
      <c r="S8" s="1">
        <v>0.95</v>
      </c>
      <c r="T8" s="1">
        <v>22.657267480000002</v>
      </c>
      <c r="U8" s="1">
        <v>14.26669922</v>
      </c>
      <c r="V8" s="1">
        <v>4.7256</v>
      </c>
      <c r="W8" s="1">
        <v>2.073645</v>
      </c>
      <c r="X8" t="s">
        <v>50</v>
      </c>
      <c r="Y8" s="1">
        <v>0.14000000000000001</v>
      </c>
      <c r="Z8" s="1">
        <v>0.5</v>
      </c>
      <c r="AA8" t="s">
        <v>50</v>
      </c>
      <c r="AB8" t="s">
        <v>50</v>
      </c>
      <c r="AC8" s="1">
        <v>0.72719999999999996</v>
      </c>
      <c r="AD8" t="s">
        <v>50</v>
      </c>
      <c r="AE8" s="1">
        <v>0.08</v>
      </c>
      <c r="AF8" s="1">
        <v>0.2046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87</v>
      </c>
      <c r="AQ8" s="1">
        <v>13467</v>
      </c>
      <c r="AR8" t="s">
        <v>51</v>
      </c>
    </row>
    <row r="9" spans="1:44">
      <c r="A9" s="1">
        <v>31690</v>
      </c>
      <c r="B9" s="1">
        <v>35665</v>
      </c>
      <c r="C9" s="1">
        <v>31030</v>
      </c>
      <c r="D9" t="s">
        <v>88</v>
      </c>
      <c r="E9" t="s">
        <v>89</v>
      </c>
      <c r="F9" t="str">
        <f>VLOOKUP(E9,Tabela2[#All],2,FALSE)</f>
        <v>SINO</v>
      </c>
      <c r="G9" t="s">
        <v>90</v>
      </c>
      <c r="H9" s="1">
        <v>0.6</v>
      </c>
      <c r="I9" s="1">
        <v>0.6</v>
      </c>
      <c r="J9" t="s">
        <v>46</v>
      </c>
      <c r="K9" s="1">
        <v>53.981481000000002</v>
      </c>
      <c r="L9" s="1">
        <v>8</v>
      </c>
      <c r="M9" s="1">
        <v>8.64</v>
      </c>
      <c r="N9" s="1">
        <v>32958</v>
      </c>
      <c r="O9" t="s">
        <v>81</v>
      </c>
      <c r="P9" t="s">
        <v>91</v>
      </c>
      <c r="Q9" t="s">
        <v>49</v>
      </c>
      <c r="R9" t="s">
        <v>50</v>
      </c>
      <c r="S9" s="1">
        <v>0.32500000000000001</v>
      </c>
      <c r="T9" s="1">
        <v>10.078733290000001</v>
      </c>
      <c r="U9" s="1">
        <v>6.8143121400000002</v>
      </c>
      <c r="V9" s="1">
        <v>0</v>
      </c>
      <c r="W9" s="1">
        <v>0.71096400000000004</v>
      </c>
      <c r="X9" t="s">
        <v>50</v>
      </c>
      <c r="Y9" s="1">
        <v>7.1599999999999997E-2</v>
      </c>
      <c r="Z9" s="1">
        <v>0.27500000000000002</v>
      </c>
      <c r="AA9" t="s">
        <v>50</v>
      </c>
      <c r="AB9" t="s">
        <v>50</v>
      </c>
      <c r="AC9" s="1">
        <v>0.245</v>
      </c>
      <c r="AD9" t="s">
        <v>50</v>
      </c>
      <c r="AE9" s="1">
        <v>5.21E-2</v>
      </c>
      <c r="AF9" s="1">
        <v>8.4624000000000005E-2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89</v>
      </c>
      <c r="AQ9" s="1">
        <v>1624</v>
      </c>
      <c r="AR9" t="s">
        <v>51</v>
      </c>
    </row>
    <row r="10" spans="1:44">
      <c r="A10" s="1">
        <v>31690</v>
      </c>
      <c r="B10" s="1">
        <v>35665</v>
      </c>
      <c r="C10" s="1">
        <v>31030</v>
      </c>
      <c r="D10" t="s">
        <v>88</v>
      </c>
      <c r="E10" t="s">
        <v>89</v>
      </c>
      <c r="F10" t="str">
        <f>VLOOKUP(E10,Tabela2[#All],2,FALSE)</f>
        <v>SINO</v>
      </c>
      <c r="G10" t="s">
        <v>90</v>
      </c>
      <c r="H10" s="1">
        <v>0.6</v>
      </c>
      <c r="I10" s="1">
        <v>0.6</v>
      </c>
      <c r="J10" t="s">
        <v>46</v>
      </c>
      <c r="K10" s="1">
        <v>53.981481000000002</v>
      </c>
      <c r="L10" s="1">
        <v>8</v>
      </c>
      <c r="M10" s="1">
        <v>8.64</v>
      </c>
      <c r="N10" s="1">
        <v>32958</v>
      </c>
      <c r="O10" t="s">
        <v>81</v>
      </c>
      <c r="P10" t="s">
        <v>92</v>
      </c>
      <c r="Q10" t="s">
        <v>49</v>
      </c>
      <c r="R10" t="s">
        <v>50</v>
      </c>
      <c r="S10" s="1">
        <v>0.32500000000000001</v>
      </c>
      <c r="T10" s="1">
        <v>10.078733290000001</v>
      </c>
      <c r="U10" s="1">
        <v>6.8143121400000002</v>
      </c>
      <c r="V10" s="1">
        <v>0</v>
      </c>
      <c r="W10" s="1">
        <v>0.71096400000000004</v>
      </c>
      <c r="X10" t="s">
        <v>50</v>
      </c>
      <c r="Y10" s="1">
        <v>7.1599999999999997E-2</v>
      </c>
      <c r="Z10" s="1">
        <v>0.27500000000000002</v>
      </c>
      <c r="AA10" t="s">
        <v>50</v>
      </c>
      <c r="AB10" t="s">
        <v>50</v>
      </c>
      <c r="AC10" s="1">
        <v>0.245</v>
      </c>
      <c r="AD10" t="s">
        <v>50</v>
      </c>
      <c r="AE10" s="1">
        <v>5.21E-2</v>
      </c>
      <c r="AF10" s="1">
        <v>8.4624000000000005E-2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89</v>
      </c>
      <c r="AQ10" s="1">
        <v>1624</v>
      </c>
      <c r="AR10" t="s">
        <v>51</v>
      </c>
    </row>
    <row r="11" spans="1:44">
      <c r="A11" s="1">
        <v>31378</v>
      </c>
      <c r="B11" s="1">
        <v>31382</v>
      </c>
      <c r="C11" s="1">
        <v>30717</v>
      </c>
      <c r="D11" t="s">
        <v>93</v>
      </c>
      <c r="E11" t="s">
        <v>94</v>
      </c>
      <c r="F11" t="str">
        <f>VLOOKUP(E11,Tabela2[#All],2,FALSE)</f>
        <v>SINO</v>
      </c>
      <c r="G11" t="s">
        <v>95</v>
      </c>
      <c r="H11" s="1">
        <v>0.56999999999999995</v>
      </c>
      <c r="I11" s="1">
        <v>0.56999999999999995</v>
      </c>
      <c r="J11" t="s">
        <v>46</v>
      </c>
      <c r="K11" s="1">
        <v>55.868544999999997</v>
      </c>
      <c r="L11" s="1">
        <v>8</v>
      </c>
      <c r="M11" s="1">
        <v>8.74</v>
      </c>
      <c r="N11" s="1">
        <v>32958</v>
      </c>
      <c r="O11" t="s">
        <v>81</v>
      </c>
      <c r="P11" t="s">
        <v>91</v>
      </c>
      <c r="Q11" t="s">
        <v>49</v>
      </c>
      <c r="R11" t="s">
        <v>50</v>
      </c>
      <c r="S11" s="1">
        <v>0.32500000000000001</v>
      </c>
      <c r="T11" s="1">
        <v>12.12930023</v>
      </c>
      <c r="U11" s="1">
        <v>7.5992086499999996</v>
      </c>
      <c r="V11" s="1">
        <v>0</v>
      </c>
      <c r="W11" s="1">
        <v>0.67541580000000001</v>
      </c>
      <c r="X11" t="s">
        <v>50</v>
      </c>
      <c r="Y11" s="1">
        <v>7.1599999999999997E-2</v>
      </c>
      <c r="Z11" s="1">
        <v>0.255</v>
      </c>
      <c r="AA11" t="s">
        <v>50</v>
      </c>
      <c r="AB11" t="s">
        <v>50</v>
      </c>
      <c r="AC11" s="1">
        <v>0.245</v>
      </c>
      <c r="AD11" t="s">
        <v>50</v>
      </c>
      <c r="AE11" s="1">
        <v>5.21E-2</v>
      </c>
      <c r="AF11" s="1">
        <v>8.4624000000000005E-2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94</v>
      </c>
      <c r="AQ11" s="1">
        <v>1623</v>
      </c>
      <c r="AR11" t="s">
        <v>51</v>
      </c>
    </row>
    <row r="12" spans="1:44">
      <c r="A12" s="1">
        <v>31378</v>
      </c>
      <c r="B12" s="1">
        <v>31382</v>
      </c>
      <c r="C12" s="1">
        <v>30717</v>
      </c>
      <c r="D12" t="s">
        <v>93</v>
      </c>
      <c r="E12" t="s">
        <v>94</v>
      </c>
      <c r="F12" t="str">
        <f>VLOOKUP(E12,Tabela2[#All],2,FALSE)</f>
        <v>SINO</v>
      </c>
      <c r="G12" t="s">
        <v>95</v>
      </c>
      <c r="H12" s="1">
        <v>0.56999999999999995</v>
      </c>
      <c r="I12" s="1">
        <v>0.56999999999999995</v>
      </c>
      <c r="J12" t="s">
        <v>46</v>
      </c>
      <c r="K12" s="1">
        <v>55.868544999999997</v>
      </c>
      <c r="L12" s="1">
        <v>8</v>
      </c>
      <c r="M12" s="1">
        <v>8.74</v>
      </c>
      <c r="N12" s="1">
        <v>32958</v>
      </c>
      <c r="O12" t="s">
        <v>81</v>
      </c>
      <c r="P12" t="s">
        <v>92</v>
      </c>
      <c r="Q12" t="s">
        <v>49</v>
      </c>
      <c r="R12" t="s">
        <v>50</v>
      </c>
      <c r="S12" s="1">
        <v>0.32500000000000001</v>
      </c>
      <c r="T12" s="1">
        <v>12.12930023</v>
      </c>
      <c r="U12" s="1">
        <v>7.5992086499999996</v>
      </c>
      <c r="V12" s="1">
        <v>0</v>
      </c>
      <c r="W12" s="1">
        <v>0.67541580000000001</v>
      </c>
      <c r="X12" t="s">
        <v>50</v>
      </c>
      <c r="Y12" s="1">
        <v>7.1599999999999997E-2</v>
      </c>
      <c r="Z12" s="1">
        <v>0.255</v>
      </c>
      <c r="AA12" t="s">
        <v>50</v>
      </c>
      <c r="AB12" t="s">
        <v>50</v>
      </c>
      <c r="AC12" s="1">
        <v>0.245</v>
      </c>
      <c r="AD12" t="s">
        <v>50</v>
      </c>
      <c r="AE12" s="1">
        <v>5.21E-2</v>
      </c>
      <c r="AF12" s="1">
        <v>8.4624000000000005E-2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94</v>
      </c>
      <c r="AQ12" s="1">
        <v>1623</v>
      </c>
      <c r="AR12" t="s">
        <v>51</v>
      </c>
    </row>
    <row r="13" spans="1:44">
      <c r="A13" s="1">
        <v>94614</v>
      </c>
      <c r="B13" s="1">
        <v>94616</v>
      </c>
      <c r="C13" s="1">
        <v>86350</v>
      </c>
      <c r="D13" t="s">
        <v>96</v>
      </c>
      <c r="E13" t="s">
        <v>97</v>
      </c>
      <c r="F13" t="str">
        <f>VLOOKUP(E13,Tabela2[#All],2,FALSE)</f>
        <v>CAMPÂNULA CONCHA</v>
      </c>
      <c r="G13" t="s">
        <v>98</v>
      </c>
      <c r="H13" s="1">
        <v>1.02</v>
      </c>
      <c r="I13" s="1">
        <v>1.02</v>
      </c>
      <c r="J13" t="s">
        <v>46</v>
      </c>
      <c r="K13" s="1">
        <v>56.697248000000002</v>
      </c>
      <c r="L13" s="1">
        <v>6</v>
      </c>
      <c r="M13" s="1">
        <v>10.9</v>
      </c>
      <c r="N13" s="1">
        <v>119331</v>
      </c>
      <c r="O13" t="s">
        <v>99</v>
      </c>
      <c r="P13" t="s">
        <v>100</v>
      </c>
      <c r="Q13" t="s">
        <v>49</v>
      </c>
      <c r="R13" t="s">
        <v>50</v>
      </c>
      <c r="S13" s="1">
        <v>0.997</v>
      </c>
      <c r="T13" s="1">
        <v>15.940430689999999</v>
      </c>
      <c r="U13" s="1">
        <v>10.13092277</v>
      </c>
      <c r="V13" s="1">
        <v>3.2583833333333332</v>
      </c>
      <c r="W13" s="1">
        <v>1.2086387999999999</v>
      </c>
      <c r="X13" s="1">
        <v>0.7</v>
      </c>
      <c r="Y13" s="1">
        <v>6.5000000000000002E-2</v>
      </c>
      <c r="Z13" s="1">
        <v>0.1</v>
      </c>
      <c r="AA13" t="s">
        <v>50</v>
      </c>
      <c r="AB13" t="s">
        <v>50</v>
      </c>
      <c r="AC13" s="1">
        <v>1.0331999999999999</v>
      </c>
      <c r="AD13" t="s">
        <v>50</v>
      </c>
      <c r="AE13" s="1">
        <v>0.12245</v>
      </c>
      <c r="AF13" s="1">
        <v>0.120834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101</v>
      </c>
      <c r="AQ13" s="1">
        <v>9867</v>
      </c>
      <c r="AR13" t="s">
        <v>51</v>
      </c>
    </row>
    <row r="14" spans="1:44">
      <c r="A14" s="1">
        <v>94614</v>
      </c>
      <c r="B14" s="1">
        <v>94616</v>
      </c>
      <c r="C14" s="1">
        <v>86350</v>
      </c>
      <c r="D14" t="s">
        <v>96</v>
      </c>
      <c r="E14" t="s">
        <v>97</v>
      </c>
      <c r="F14" t="str">
        <f>VLOOKUP(E14,Tabela2[#All],2,FALSE)</f>
        <v>CAMPÂNULA CONCHA</v>
      </c>
      <c r="G14" t="s">
        <v>98</v>
      </c>
      <c r="H14" s="1">
        <v>1.02</v>
      </c>
      <c r="I14" s="1">
        <v>1.02</v>
      </c>
      <c r="J14" t="s">
        <v>46</v>
      </c>
      <c r="K14" s="1">
        <v>56.697248000000002</v>
      </c>
      <c r="L14" s="1">
        <v>6</v>
      </c>
      <c r="M14" s="1">
        <v>10.9</v>
      </c>
      <c r="N14" s="1">
        <v>119331</v>
      </c>
      <c r="O14" t="s">
        <v>99</v>
      </c>
      <c r="P14" t="s">
        <v>102</v>
      </c>
      <c r="Q14" t="s">
        <v>49</v>
      </c>
      <c r="R14" t="s">
        <v>50</v>
      </c>
      <c r="S14" s="1">
        <v>0.997</v>
      </c>
      <c r="T14" s="1">
        <v>15.940430689999999</v>
      </c>
      <c r="U14" s="1">
        <v>10.13092277</v>
      </c>
      <c r="V14" s="1">
        <v>3.2583833333333332</v>
      </c>
      <c r="W14" s="1">
        <v>1.2086387999999999</v>
      </c>
      <c r="X14" s="1">
        <v>0.7</v>
      </c>
      <c r="Y14" s="1">
        <v>6.5000000000000002E-2</v>
      </c>
      <c r="Z14" s="1">
        <v>0.1</v>
      </c>
      <c r="AA14" t="s">
        <v>50</v>
      </c>
      <c r="AB14" t="s">
        <v>50</v>
      </c>
      <c r="AC14" s="1">
        <v>1.0331999999999999</v>
      </c>
      <c r="AD14" t="s">
        <v>50</v>
      </c>
      <c r="AE14" s="1">
        <v>0.12245</v>
      </c>
      <c r="AF14" s="1">
        <v>0.120834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101</v>
      </c>
      <c r="AQ14" s="1">
        <v>9867</v>
      </c>
      <c r="AR14" t="s">
        <v>51</v>
      </c>
    </row>
    <row r="15" spans="1:44">
      <c r="A15" s="1">
        <v>51540</v>
      </c>
      <c r="B15" s="1">
        <v>57777</v>
      </c>
      <c r="C15" s="1">
        <v>46151</v>
      </c>
      <c r="D15" t="s">
        <v>103</v>
      </c>
      <c r="E15" t="s">
        <v>104</v>
      </c>
      <c r="F15" t="str">
        <f>VLOOKUP(E15,Tabela2[#All],2,FALSE)</f>
        <v>TELEFONE</v>
      </c>
      <c r="G15" t="s">
        <v>105</v>
      </c>
      <c r="H15" s="1">
        <v>1.32</v>
      </c>
      <c r="I15" s="1">
        <v>1.32</v>
      </c>
      <c r="J15" t="s">
        <v>46</v>
      </c>
      <c r="K15" s="1">
        <v>44.781145000000002</v>
      </c>
      <c r="L15" s="1">
        <v>4</v>
      </c>
      <c r="M15" s="1">
        <v>11.88</v>
      </c>
      <c r="N15" s="1">
        <v>64899</v>
      </c>
      <c r="O15" t="s">
        <v>106</v>
      </c>
      <c r="P15" t="s">
        <v>59</v>
      </c>
      <c r="Q15" t="s">
        <v>60</v>
      </c>
      <c r="R15" t="s">
        <v>50</v>
      </c>
      <c r="S15" t="s">
        <v>50</v>
      </c>
      <c r="T15" s="1">
        <v>12.021348</v>
      </c>
      <c r="U15" s="1">
        <v>11.21472724</v>
      </c>
      <c r="V15" s="1">
        <v>4.6603250000000003</v>
      </c>
      <c r="W15" s="1">
        <v>0</v>
      </c>
      <c r="X15" t="s">
        <v>50</v>
      </c>
      <c r="Y15" s="1">
        <v>2.9000000000000001E-2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s="1">
        <v>0.155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104</v>
      </c>
      <c r="AQ15" s="1">
        <v>4067</v>
      </c>
      <c r="AR15" t="s">
        <v>51</v>
      </c>
    </row>
    <row r="16" spans="1:44">
      <c r="A16" s="1">
        <v>51539</v>
      </c>
      <c r="B16" s="1">
        <v>57778</v>
      </c>
      <c r="C16" s="1">
        <v>46152</v>
      </c>
      <c r="D16" t="s">
        <v>107</v>
      </c>
      <c r="E16" t="s">
        <v>108</v>
      </c>
      <c r="F16" t="str">
        <f>VLOOKUP(E16,Tabela2[#All],2,FALSE)</f>
        <v>TELEFONE</v>
      </c>
      <c r="G16" t="s">
        <v>109</v>
      </c>
      <c r="H16" s="1">
        <v>1.36</v>
      </c>
      <c r="I16" s="1">
        <v>1.36</v>
      </c>
      <c r="J16" t="s">
        <v>46</v>
      </c>
      <c r="K16" s="1">
        <v>44.590164000000001</v>
      </c>
      <c r="L16" s="1">
        <v>4</v>
      </c>
      <c r="M16" s="1">
        <v>12.2</v>
      </c>
      <c r="N16" s="1">
        <v>64899</v>
      </c>
      <c r="O16" t="s">
        <v>106</v>
      </c>
      <c r="P16" t="s">
        <v>59</v>
      </c>
      <c r="Q16" t="s">
        <v>60</v>
      </c>
      <c r="R16" t="s">
        <v>50</v>
      </c>
      <c r="S16" t="s">
        <v>50</v>
      </c>
      <c r="T16" s="1">
        <v>13.148289999999999</v>
      </c>
      <c r="U16" s="1">
        <v>12.340351439999999</v>
      </c>
      <c r="V16" s="1">
        <v>0</v>
      </c>
      <c r="W16" s="1">
        <v>0</v>
      </c>
      <c r="X16" t="s">
        <v>50</v>
      </c>
      <c r="Y16" s="1">
        <v>0.03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s="1">
        <v>0.19950000000000001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108</v>
      </c>
      <c r="AQ16" s="1">
        <v>4068</v>
      </c>
      <c r="AR16" t="s">
        <v>51</v>
      </c>
    </row>
    <row r="17" spans="1:44">
      <c r="A17" s="1">
        <v>32361</v>
      </c>
      <c r="B17" s="1">
        <v>32365</v>
      </c>
      <c r="C17" s="1">
        <v>31697</v>
      </c>
      <c r="D17" t="s">
        <v>110</v>
      </c>
      <c r="E17" t="s">
        <v>111</v>
      </c>
      <c r="F17" t="str">
        <f>VLOOKUP(E17,Tabela2[#All],2,FALSE)</f>
        <v>Válvula Nível 4</v>
      </c>
      <c r="G17" t="s">
        <v>112</v>
      </c>
      <c r="H17" s="1">
        <v>0.83</v>
      </c>
      <c r="I17" s="1">
        <v>0.83</v>
      </c>
      <c r="J17" t="s">
        <v>65</v>
      </c>
      <c r="K17" s="1">
        <v>77.311475000000002</v>
      </c>
      <c r="L17" s="1">
        <v>3.6</v>
      </c>
      <c r="M17" s="1">
        <v>6.1</v>
      </c>
      <c r="N17" s="1">
        <v>36441</v>
      </c>
      <c r="O17" t="s">
        <v>66</v>
      </c>
      <c r="P17" t="s">
        <v>113</v>
      </c>
      <c r="Q17" t="s">
        <v>68</v>
      </c>
      <c r="R17" t="s">
        <v>50</v>
      </c>
      <c r="S17" s="1">
        <v>0.21</v>
      </c>
      <c r="T17" s="1">
        <v>43.680806850000003</v>
      </c>
      <c r="U17" s="1">
        <v>13.505955220000001</v>
      </c>
      <c r="V17" s="1">
        <v>0</v>
      </c>
      <c r="W17" s="1">
        <v>0</v>
      </c>
      <c r="X17" t="s">
        <v>50</v>
      </c>
      <c r="Y17" t="s">
        <v>50</v>
      </c>
      <c r="Z17" t="s">
        <v>50</v>
      </c>
      <c r="AA17" t="s">
        <v>50</v>
      </c>
      <c r="AB17" s="1">
        <v>7.8666</v>
      </c>
      <c r="AC17" t="s">
        <v>50</v>
      </c>
      <c r="AD17" t="s">
        <v>50</v>
      </c>
      <c r="AE17" t="s">
        <v>50</v>
      </c>
      <c r="AF17" t="s">
        <v>50</v>
      </c>
      <c r="AG17" s="1">
        <v>0.13880000000000001</v>
      </c>
      <c r="AH17" s="1">
        <v>1.1249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114</v>
      </c>
      <c r="AQ17" s="1">
        <v>1958</v>
      </c>
      <c r="AR17" t="s">
        <v>70</v>
      </c>
    </row>
    <row r="18" spans="1:44">
      <c r="A18" s="1">
        <v>92196</v>
      </c>
      <c r="B18" s="1">
        <v>92169</v>
      </c>
      <c r="C18" s="1">
        <v>83987</v>
      </c>
      <c r="D18" t="s">
        <v>115</v>
      </c>
      <c r="E18" t="s">
        <v>116</v>
      </c>
      <c r="F18" t="str">
        <f>VLOOKUP(E18,Tabela2[#All],2,FALSE)</f>
        <v>Válvula Nível 3</v>
      </c>
      <c r="G18" t="s">
        <v>118</v>
      </c>
      <c r="H18" s="1">
        <v>1.9</v>
      </c>
      <c r="I18" s="1">
        <v>1.9</v>
      </c>
      <c r="J18" t="s">
        <v>65</v>
      </c>
      <c r="K18" s="1">
        <v>47.5</v>
      </c>
      <c r="L18" s="1">
        <v>6</v>
      </c>
      <c r="M18" s="1">
        <v>24</v>
      </c>
      <c r="N18" s="1">
        <v>36446</v>
      </c>
      <c r="O18" t="s">
        <v>119</v>
      </c>
      <c r="P18" t="s">
        <v>117</v>
      </c>
      <c r="Q18" t="s">
        <v>68</v>
      </c>
      <c r="R18" s="1">
        <v>0.12</v>
      </c>
      <c r="S18" t="s">
        <v>50</v>
      </c>
      <c r="T18" s="1">
        <v>27.523741780000002</v>
      </c>
      <c r="U18" s="1">
        <v>27.523741780000002</v>
      </c>
      <c r="V18" s="1">
        <v>0</v>
      </c>
      <c r="W18" s="1">
        <v>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s="1">
        <v>0.16700000000000001</v>
      </c>
      <c r="AH18" s="1">
        <v>0.85</v>
      </c>
      <c r="AI18" s="1">
        <v>6.6000000000000003E-2</v>
      </c>
      <c r="AJ18" t="s">
        <v>50</v>
      </c>
      <c r="AK18" t="s">
        <v>50</v>
      </c>
      <c r="AL18" t="s">
        <v>50</v>
      </c>
      <c r="AM18" t="s">
        <v>50</v>
      </c>
      <c r="AN18" s="1">
        <v>3</v>
      </c>
      <c r="AO18" t="s">
        <v>50</v>
      </c>
      <c r="AP18" t="s">
        <v>120</v>
      </c>
      <c r="AQ18" s="1">
        <v>9267</v>
      </c>
      <c r="AR18" t="s">
        <v>70</v>
      </c>
    </row>
    <row r="19" spans="1:44">
      <c r="A19" s="1">
        <v>89950</v>
      </c>
      <c r="B19" s="1">
        <v>89948</v>
      </c>
      <c r="C19" s="1">
        <v>81926</v>
      </c>
      <c r="D19" t="s">
        <v>121</v>
      </c>
      <c r="E19" t="s">
        <v>122</v>
      </c>
      <c r="F19" t="str">
        <f>VLOOKUP(E19,Tabela2[#All],2,FALSE)</f>
        <v>Válvula Nível 3</v>
      </c>
      <c r="G19" t="s">
        <v>123</v>
      </c>
      <c r="H19" s="1">
        <v>1.7</v>
      </c>
      <c r="I19" s="1">
        <v>1.7</v>
      </c>
      <c r="J19" t="s">
        <v>65</v>
      </c>
      <c r="K19" s="1">
        <v>72.674999999999997</v>
      </c>
      <c r="L19" s="1">
        <v>3.42</v>
      </c>
      <c r="M19" s="1">
        <v>8</v>
      </c>
      <c r="N19" s="1">
        <v>36446</v>
      </c>
      <c r="O19" t="s">
        <v>119</v>
      </c>
      <c r="P19" t="s">
        <v>117</v>
      </c>
      <c r="Q19" t="s">
        <v>68</v>
      </c>
      <c r="R19" s="1">
        <v>0.35</v>
      </c>
      <c r="S19" t="s">
        <v>50</v>
      </c>
      <c r="T19" s="1">
        <v>30.119614940000002</v>
      </c>
      <c r="U19" s="1">
        <v>30.119614940000002</v>
      </c>
      <c r="V19" s="1">
        <v>0</v>
      </c>
      <c r="W19" s="1">
        <v>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s="1">
        <v>0.16700000000000001</v>
      </c>
      <c r="AH19" s="1">
        <v>0.9</v>
      </c>
      <c r="AI19" s="1">
        <v>6.6000000000000003E-2</v>
      </c>
      <c r="AJ19" t="s">
        <v>50</v>
      </c>
      <c r="AK19" t="s">
        <v>50</v>
      </c>
      <c r="AL19" t="s">
        <v>50</v>
      </c>
      <c r="AM19" t="s">
        <v>50</v>
      </c>
      <c r="AN19" s="1">
        <v>4.2</v>
      </c>
      <c r="AO19" t="s">
        <v>50</v>
      </c>
      <c r="AP19" t="s">
        <v>124</v>
      </c>
      <c r="AQ19" s="1">
        <v>8787</v>
      </c>
      <c r="AR19" t="s">
        <v>70</v>
      </c>
    </row>
    <row r="20" spans="1:44">
      <c r="A20" s="1">
        <v>37227</v>
      </c>
      <c r="B20" s="1">
        <v>32404</v>
      </c>
      <c r="C20" s="1">
        <v>31737</v>
      </c>
      <c r="D20" t="s">
        <v>126</v>
      </c>
      <c r="E20" t="s">
        <v>127</v>
      </c>
      <c r="F20" t="str">
        <f>VLOOKUP(E20,Tabela2[#All],2,FALSE)</f>
        <v>Válvula Nível 3</v>
      </c>
      <c r="G20" t="s">
        <v>128</v>
      </c>
      <c r="H20" s="1">
        <v>2.96</v>
      </c>
      <c r="I20" s="1">
        <v>2.96</v>
      </c>
      <c r="J20" t="s">
        <v>65</v>
      </c>
      <c r="K20" s="1">
        <v>70.685587999999996</v>
      </c>
      <c r="L20" s="1">
        <v>3.4333</v>
      </c>
      <c r="M20" s="1">
        <v>14.28</v>
      </c>
      <c r="N20" s="1">
        <v>36446</v>
      </c>
      <c r="O20" t="s">
        <v>119</v>
      </c>
      <c r="P20" t="s">
        <v>117</v>
      </c>
      <c r="Q20" t="s">
        <v>68</v>
      </c>
      <c r="R20" s="1">
        <v>0.25</v>
      </c>
      <c r="S20" t="s">
        <v>50</v>
      </c>
      <c r="T20" s="1">
        <v>41.101876840000003</v>
      </c>
      <c r="U20" s="1">
        <v>41.08038268</v>
      </c>
      <c r="V20" s="1">
        <v>0</v>
      </c>
      <c r="W20" s="1">
        <v>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s="1">
        <v>0.17849999999999999</v>
      </c>
      <c r="AH20" s="1">
        <v>0.92</v>
      </c>
      <c r="AI20" s="1">
        <v>7.1800000000000003E-2</v>
      </c>
      <c r="AJ20" t="s">
        <v>50</v>
      </c>
      <c r="AK20" t="s">
        <v>50</v>
      </c>
      <c r="AL20" t="s">
        <v>50</v>
      </c>
      <c r="AM20" t="s">
        <v>50</v>
      </c>
      <c r="AN20" s="1">
        <v>4.26</v>
      </c>
      <c r="AO20" t="s">
        <v>50</v>
      </c>
      <c r="AP20" t="s">
        <v>129</v>
      </c>
      <c r="AQ20" s="1">
        <v>1945</v>
      </c>
      <c r="AR20" t="s">
        <v>70</v>
      </c>
    </row>
    <row r="21" spans="1:44">
      <c r="A21" s="1">
        <v>54353</v>
      </c>
      <c r="B21" s="1">
        <v>54354</v>
      </c>
      <c r="C21" s="1">
        <v>48663</v>
      </c>
      <c r="D21" t="s">
        <v>130</v>
      </c>
      <c r="E21" t="s">
        <v>131</v>
      </c>
      <c r="F21" t="str">
        <f>VLOOKUP(E21,Tabela2[#All],2,FALSE)</f>
        <v>Válvula Nível 4</v>
      </c>
      <c r="G21" t="s">
        <v>132</v>
      </c>
      <c r="H21" s="1">
        <v>4.0999999999999996</v>
      </c>
      <c r="I21" s="1">
        <v>4.0999999999999996</v>
      </c>
      <c r="J21" t="s">
        <v>65</v>
      </c>
      <c r="K21" s="1">
        <v>76.875</v>
      </c>
      <c r="L21" s="1">
        <v>3</v>
      </c>
      <c r="M21" s="1">
        <v>16</v>
      </c>
      <c r="N21" s="1">
        <v>36446</v>
      </c>
      <c r="O21" t="s">
        <v>119</v>
      </c>
      <c r="P21" t="s">
        <v>117</v>
      </c>
      <c r="Q21" t="s">
        <v>68</v>
      </c>
      <c r="R21" t="s">
        <v>50</v>
      </c>
      <c r="S21" s="1">
        <v>0.38</v>
      </c>
      <c r="T21" s="1">
        <v>45.052741830000002</v>
      </c>
      <c r="U21" s="1">
        <v>45.052741830000002</v>
      </c>
      <c r="V21" s="1">
        <v>0</v>
      </c>
      <c r="W21" s="1">
        <v>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s="1">
        <v>0.625</v>
      </c>
      <c r="AH21" s="1">
        <v>0.88</v>
      </c>
      <c r="AI21" s="1">
        <v>6.5199999999999994E-2</v>
      </c>
      <c r="AJ21" t="s">
        <v>50</v>
      </c>
      <c r="AK21" t="s">
        <v>50</v>
      </c>
      <c r="AL21" t="s">
        <v>50</v>
      </c>
      <c r="AM21" t="s">
        <v>50</v>
      </c>
      <c r="AN21" s="1">
        <v>5.13</v>
      </c>
      <c r="AO21" t="s">
        <v>50</v>
      </c>
      <c r="AP21" t="s">
        <v>133</v>
      </c>
      <c r="AQ21" s="1">
        <v>3571</v>
      </c>
      <c r="AR21" t="s">
        <v>70</v>
      </c>
    </row>
    <row r="22" spans="1:44">
      <c r="A22" s="1">
        <v>43340</v>
      </c>
      <c r="B22" s="1">
        <v>32404</v>
      </c>
      <c r="C22" s="1">
        <v>31737</v>
      </c>
      <c r="D22" t="s">
        <v>136</v>
      </c>
      <c r="E22" t="s">
        <v>127</v>
      </c>
      <c r="F22" t="str">
        <f>VLOOKUP(E22,Tabela2[#All],2,FALSE)</f>
        <v>Válvula Nível 3</v>
      </c>
      <c r="G22" t="s">
        <v>128</v>
      </c>
      <c r="H22" s="1">
        <v>2.2050000000000001</v>
      </c>
      <c r="I22" s="1">
        <v>2.2050000000000001</v>
      </c>
      <c r="J22" t="s">
        <v>65</v>
      </c>
      <c r="K22" s="1">
        <v>70.685587999999996</v>
      </c>
      <c r="L22" s="1">
        <v>3.4333</v>
      </c>
      <c r="M22" s="1">
        <v>14.28</v>
      </c>
      <c r="N22" s="1">
        <v>36446</v>
      </c>
      <c r="O22" t="s">
        <v>119</v>
      </c>
      <c r="P22" t="s">
        <v>117</v>
      </c>
      <c r="Q22" t="s">
        <v>68</v>
      </c>
      <c r="R22" s="1">
        <v>0.25</v>
      </c>
      <c r="S22" t="s">
        <v>50</v>
      </c>
      <c r="T22" s="1">
        <v>71.18004268</v>
      </c>
      <c r="U22" s="1">
        <v>41.08038268</v>
      </c>
      <c r="V22" s="1">
        <v>0</v>
      </c>
      <c r="W22" s="1">
        <v>0</v>
      </c>
      <c r="X22" t="s">
        <v>50</v>
      </c>
      <c r="Y22" t="s">
        <v>50</v>
      </c>
      <c r="Z22" t="s">
        <v>50</v>
      </c>
      <c r="AA22" t="s">
        <v>50</v>
      </c>
      <c r="AB22" s="1">
        <v>9.875</v>
      </c>
      <c r="AC22" t="s">
        <v>50</v>
      </c>
      <c r="AD22" t="s">
        <v>50</v>
      </c>
      <c r="AE22" t="s">
        <v>50</v>
      </c>
      <c r="AF22" t="s">
        <v>50</v>
      </c>
      <c r="AG22" s="1">
        <v>0.17849999999999999</v>
      </c>
      <c r="AH22" s="1">
        <v>0.92</v>
      </c>
      <c r="AI22" s="1">
        <v>7.1800000000000003E-2</v>
      </c>
      <c r="AJ22" t="s">
        <v>50</v>
      </c>
      <c r="AK22" t="s">
        <v>50</v>
      </c>
      <c r="AL22" t="s">
        <v>50</v>
      </c>
      <c r="AM22" t="s">
        <v>50</v>
      </c>
      <c r="AN22" s="1">
        <v>4.26</v>
      </c>
      <c r="AO22" t="s">
        <v>50</v>
      </c>
      <c r="AP22" t="s">
        <v>129</v>
      </c>
      <c r="AQ22" s="1">
        <v>1945</v>
      </c>
      <c r="AR22" t="s">
        <v>70</v>
      </c>
    </row>
    <row r="23" spans="1:44">
      <c r="A23" s="1">
        <v>95994</v>
      </c>
      <c r="B23" s="1">
        <v>32404</v>
      </c>
      <c r="C23" s="1">
        <v>31737</v>
      </c>
      <c r="D23" t="s">
        <v>137</v>
      </c>
      <c r="E23" t="s">
        <v>127</v>
      </c>
      <c r="F23" t="str">
        <f>VLOOKUP(E23,Tabela2[#All],2,FALSE)</f>
        <v>Válvula Nível 3</v>
      </c>
      <c r="G23" t="s">
        <v>128</v>
      </c>
      <c r="H23" s="1">
        <v>2.2050000000000001</v>
      </c>
      <c r="I23" s="1">
        <v>2.2050000000000001</v>
      </c>
      <c r="J23" t="s">
        <v>65</v>
      </c>
      <c r="K23" s="1">
        <v>70.685587999999996</v>
      </c>
      <c r="L23" s="1">
        <v>3.4333</v>
      </c>
      <c r="M23" s="1">
        <v>14.28</v>
      </c>
      <c r="N23" s="1">
        <v>36446</v>
      </c>
      <c r="O23" t="s">
        <v>119</v>
      </c>
      <c r="P23" t="s">
        <v>117</v>
      </c>
      <c r="Q23" t="s">
        <v>68</v>
      </c>
      <c r="R23" s="1">
        <v>0.25</v>
      </c>
      <c r="S23" t="s">
        <v>50</v>
      </c>
      <c r="T23" s="1">
        <v>77.151767680000006</v>
      </c>
      <c r="U23" s="1">
        <v>41.08038268</v>
      </c>
      <c r="V23" s="1">
        <v>0</v>
      </c>
      <c r="W23" s="1">
        <v>0</v>
      </c>
      <c r="X23" t="s">
        <v>50</v>
      </c>
      <c r="Y23" t="s">
        <v>50</v>
      </c>
      <c r="Z23" t="s">
        <v>50</v>
      </c>
      <c r="AA23" t="s">
        <v>50</v>
      </c>
      <c r="AB23" s="1">
        <v>11.9</v>
      </c>
      <c r="AC23" t="s">
        <v>50</v>
      </c>
      <c r="AD23" t="s">
        <v>50</v>
      </c>
      <c r="AE23" t="s">
        <v>50</v>
      </c>
      <c r="AF23" t="s">
        <v>50</v>
      </c>
      <c r="AG23" s="1">
        <v>0.17849999999999999</v>
      </c>
      <c r="AH23" s="1">
        <v>0.92</v>
      </c>
      <c r="AI23" s="1">
        <v>7.1800000000000003E-2</v>
      </c>
      <c r="AJ23" t="s">
        <v>50</v>
      </c>
      <c r="AK23" t="s">
        <v>50</v>
      </c>
      <c r="AL23" t="s">
        <v>50</v>
      </c>
      <c r="AM23" t="s">
        <v>50</v>
      </c>
      <c r="AN23" s="1">
        <v>4.26</v>
      </c>
      <c r="AO23" t="s">
        <v>50</v>
      </c>
      <c r="AP23" t="s">
        <v>129</v>
      </c>
      <c r="AQ23" s="1">
        <v>1945</v>
      </c>
      <c r="AR23" t="s">
        <v>70</v>
      </c>
    </row>
    <row r="24" spans="1:44">
      <c r="A24" s="1">
        <v>70764</v>
      </c>
      <c r="B24" s="1">
        <v>70762</v>
      </c>
      <c r="C24" s="1">
        <v>64291</v>
      </c>
      <c r="D24" t="s">
        <v>138</v>
      </c>
      <c r="E24" t="s">
        <v>139</v>
      </c>
      <c r="F24" t="str">
        <f>VLOOKUP(E24,Tabela2[#All],2,FALSE)</f>
        <v>Válvula Nível 1</v>
      </c>
      <c r="G24" t="s">
        <v>140</v>
      </c>
      <c r="H24" s="1">
        <v>2.4849999999999999</v>
      </c>
      <c r="I24" s="1">
        <v>2.4849999999999999</v>
      </c>
      <c r="J24" t="s">
        <v>65</v>
      </c>
      <c r="K24" s="1">
        <v>74.721474999999998</v>
      </c>
      <c r="L24" s="1">
        <v>3.3332999999999999</v>
      </c>
      <c r="M24" s="1">
        <v>12</v>
      </c>
      <c r="N24" s="1">
        <v>36446</v>
      </c>
      <c r="O24" t="s">
        <v>119</v>
      </c>
      <c r="P24" t="s">
        <v>117</v>
      </c>
      <c r="Q24" t="s">
        <v>68</v>
      </c>
      <c r="R24" s="1">
        <v>0.16</v>
      </c>
      <c r="S24" t="s">
        <v>50</v>
      </c>
      <c r="T24" s="1">
        <v>45.414519030000001</v>
      </c>
      <c r="U24" s="1">
        <v>45.414519030000001</v>
      </c>
      <c r="V24" s="1">
        <v>0</v>
      </c>
      <c r="W24" s="1">
        <v>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s="1">
        <v>0.25</v>
      </c>
      <c r="AH24" s="1">
        <v>0.8</v>
      </c>
      <c r="AI24" s="1">
        <v>0.2</v>
      </c>
      <c r="AJ24" t="s">
        <v>50</v>
      </c>
      <c r="AK24" t="s">
        <v>50</v>
      </c>
      <c r="AL24" t="s">
        <v>50</v>
      </c>
      <c r="AM24" t="s">
        <v>50</v>
      </c>
      <c r="AN24" s="1">
        <v>4.5</v>
      </c>
      <c r="AO24" t="s">
        <v>50</v>
      </c>
      <c r="AP24" t="s">
        <v>141</v>
      </c>
      <c r="AQ24" s="1">
        <v>6088</v>
      </c>
      <c r="AR24" t="s">
        <v>70</v>
      </c>
    </row>
    <row r="25" spans="1:44">
      <c r="A25" s="1">
        <v>70780</v>
      </c>
      <c r="B25" s="1">
        <v>70778</v>
      </c>
      <c r="C25" s="1">
        <v>64309</v>
      </c>
      <c r="D25" t="s">
        <v>142</v>
      </c>
      <c r="E25" t="s">
        <v>143</v>
      </c>
      <c r="F25" t="str">
        <f>VLOOKUP(E25,Tabela2[#All],2,FALSE)</f>
        <v>Válvula Nível 1</v>
      </c>
      <c r="G25" t="s">
        <v>144</v>
      </c>
      <c r="H25" s="1">
        <v>3.5249999999999999</v>
      </c>
      <c r="I25" s="1">
        <v>3.5249999999999999</v>
      </c>
      <c r="J25" t="s">
        <v>65</v>
      </c>
      <c r="K25" s="1">
        <v>65.934066000000001</v>
      </c>
      <c r="L25" s="1">
        <v>3.2</v>
      </c>
      <c r="M25" s="1">
        <v>18.2</v>
      </c>
      <c r="N25" s="1">
        <v>36446</v>
      </c>
      <c r="O25" t="s">
        <v>119</v>
      </c>
      <c r="P25" t="s">
        <v>117</v>
      </c>
      <c r="Q25" t="s">
        <v>68</v>
      </c>
      <c r="R25" s="1">
        <v>0.26</v>
      </c>
      <c r="S25" t="s">
        <v>50</v>
      </c>
      <c r="T25" s="1">
        <v>64.606300200000007</v>
      </c>
      <c r="U25" s="1">
        <v>64.606300200000007</v>
      </c>
      <c r="V25" s="1">
        <v>0</v>
      </c>
      <c r="W25" s="1">
        <v>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s="1">
        <v>0.35</v>
      </c>
      <c r="AH25" s="1">
        <v>1.2330000000000001</v>
      </c>
      <c r="AI25" s="1">
        <v>0.2</v>
      </c>
      <c r="AJ25" t="s">
        <v>50</v>
      </c>
      <c r="AK25" t="s">
        <v>50</v>
      </c>
      <c r="AL25" t="s">
        <v>50</v>
      </c>
      <c r="AM25" t="s">
        <v>50</v>
      </c>
      <c r="AN25" s="1">
        <v>9</v>
      </c>
      <c r="AO25" t="s">
        <v>50</v>
      </c>
      <c r="AP25" t="s">
        <v>145</v>
      </c>
      <c r="AQ25" s="1">
        <v>6089</v>
      </c>
      <c r="AR25" t="s">
        <v>70</v>
      </c>
    </row>
    <row r="26" spans="1:44">
      <c r="A26" s="1">
        <v>70784</v>
      </c>
      <c r="B26" s="1">
        <v>70782</v>
      </c>
      <c r="C26" s="1">
        <v>64311</v>
      </c>
      <c r="D26" t="s">
        <v>146</v>
      </c>
      <c r="E26" t="s">
        <v>147</v>
      </c>
      <c r="F26" t="str">
        <f>VLOOKUP(E26,Tabela2[#All],2,FALSE)</f>
        <v>Válvula Nível 1</v>
      </c>
      <c r="G26" t="s">
        <v>148</v>
      </c>
      <c r="H26" s="1">
        <v>4.67</v>
      </c>
      <c r="I26" s="1">
        <v>4.67</v>
      </c>
      <c r="J26" t="s">
        <v>65</v>
      </c>
      <c r="K26" s="1">
        <v>68.571428999999995</v>
      </c>
      <c r="L26" s="1">
        <v>1.6</v>
      </c>
      <c r="M26" s="1">
        <v>11.2</v>
      </c>
      <c r="N26" s="1">
        <v>36446</v>
      </c>
      <c r="O26" t="s">
        <v>119</v>
      </c>
      <c r="P26" t="s">
        <v>117</v>
      </c>
      <c r="Q26" t="s">
        <v>68</v>
      </c>
      <c r="R26" s="1">
        <v>0.33</v>
      </c>
      <c r="S26" t="s">
        <v>50</v>
      </c>
      <c r="T26" s="1">
        <v>69.624127349999995</v>
      </c>
      <c r="U26" s="1">
        <v>69.624127349999995</v>
      </c>
      <c r="V26" s="1">
        <v>0</v>
      </c>
      <c r="W26" s="1">
        <v>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s="1">
        <v>0.35</v>
      </c>
      <c r="AH26" s="1">
        <v>1.6</v>
      </c>
      <c r="AI26" s="1">
        <v>9.8599999999999993E-2</v>
      </c>
      <c r="AJ26" t="s">
        <v>50</v>
      </c>
      <c r="AK26" t="s">
        <v>50</v>
      </c>
      <c r="AL26" t="s">
        <v>50</v>
      </c>
      <c r="AM26" t="s">
        <v>50</v>
      </c>
      <c r="AN26" s="1">
        <v>3.9</v>
      </c>
      <c r="AO26" t="s">
        <v>50</v>
      </c>
      <c r="AP26" t="s">
        <v>149</v>
      </c>
      <c r="AQ26" s="1">
        <v>6092</v>
      </c>
      <c r="AR26" t="s">
        <v>70</v>
      </c>
    </row>
    <row r="27" spans="1:44">
      <c r="A27" s="1">
        <v>73540</v>
      </c>
      <c r="B27" s="1">
        <v>73547</v>
      </c>
      <c r="C27" s="1">
        <v>66455</v>
      </c>
      <c r="D27" t="s">
        <v>150</v>
      </c>
      <c r="E27" t="s">
        <v>151</v>
      </c>
      <c r="F27" t="str">
        <f>VLOOKUP(E27,Tabela2[#All],2,FALSE)</f>
        <v>Válvula Nível 1</v>
      </c>
      <c r="G27" t="s">
        <v>152</v>
      </c>
      <c r="H27" s="1">
        <v>5.68</v>
      </c>
      <c r="I27" s="1">
        <v>5.68</v>
      </c>
      <c r="J27" t="s">
        <v>65</v>
      </c>
      <c r="K27" s="1">
        <v>64.864864999999995</v>
      </c>
      <c r="L27" s="1">
        <v>1.6</v>
      </c>
      <c r="M27" s="1">
        <v>14.8</v>
      </c>
      <c r="N27" s="1">
        <v>36446</v>
      </c>
      <c r="O27" t="s">
        <v>119</v>
      </c>
      <c r="P27" t="s">
        <v>117</v>
      </c>
      <c r="Q27" t="s">
        <v>68</v>
      </c>
      <c r="R27" s="1">
        <v>0.37</v>
      </c>
      <c r="S27" t="s">
        <v>50</v>
      </c>
      <c r="T27" s="1">
        <v>79.504423990000006</v>
      </c>
      <c r="U27" s="1">
        <v>79.504423990000006</v>
      </c>
      <c r="V27" s="1">
        <v>0</v>
      </c>
      <c r="W27" s="1">
        <v>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s="1">
        <v>0.625</v>
      </c>
      <c r="AH27" s="1">
        <v>1.4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s="1">
        <v>4.5</v>
      </c>
      <c r="AO27" t="s">
        <v>50</v>
      </c>
      <c r="AP27" t="s">
        <v>153</v>
      </c>
      <c r="AQ27" s="1">
        <v>7107</v>
      </c>
      <c r="AR27" t="s">
        <v>70</v>
      </c>
    </row>
    <row r="28" spans="1:44">
      <c r="A28" s="1">
        <v>73557</v>
      </c>
      <c r="B28" s="1">
        <v>73558</v>
      </c>
      <c r="C28" s="1">
        <v>66470</v>
      </c>
      <c r="D28" t="s">
        <v>155</v>
      </c>
      <c r="E28" t="s">
        <v>156</v>
      </c>
      <c r="F28" t="str">
        <f>VLOOKUP(E28,Tabela2[#All],2,FALSE)</f>
        <v>Válvula Nível 1</v>
      </c>
      <c r="G28" t="s">
        <v>157</v>
      </c>
      <c r="H28" s="1">
        <v>6.81</v>
      </c>
      <c r="I28" s="1">
        <v>6.81</v>
      </c>
      <c r="J28" t="s">
        <v>65</v>
      </c>
      <c r="K28" s="1">
        <v>76</v>
      </c>
      <c r="L28" s="1">
        <v>1.5</v>
      </c>
      <c r="M28" s="1">
        <v>14.25</v>
      </c>
      <c r="N28" s="1">
        <v>36446</v>
      </c>
      <c r="O28" t="s">
        <v>119</v>
      </c>
      <c r="P28" t="s">
        <v>117</v>
      </c>
      <c r="Q28" t="s">
        <v>68</v>
      </c>
      <c r="R28" s="1">
        <v>0.44</v>
      </c>
      <c r="S28" t="s">
        <v>50</v>
      </c>
      <c r="T28" s="1">
        <v>94.750563639999996</v>
      </c>
      <c r="U28" s="1">
        <v>94.750563639999996</v>
      </c>
      <c r="V28" s="1">
        <v>0</v>
      </c>
      <c r="W28" s="1">
        <v>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s="1">
        <v>0.625</v>
      </c>
      <c r="AH28" s="1">
        <v>1.5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s="1">
        <v>9</v>
      </c>
      <c r="AO28" t="s">
        <v>50</v>
      </c>
      <c r="AP28" t="s">
        <v>158</v>
      </c>
      <c r="AQ28" s="1">
        <v>7127</v>
      </c>
      <c r="AR28" t="s">
        <v>70</v>
      </c>
    </row>
    <row r="29" spans="1:44">
      <c r="A29" s="1">
        <v>82564</v>
      </c>
      <c r="B29" s="1">
        <v>82565</v>
      </c>
      <c r="C29" s="1">
        <v>74954</v>
      </c>
      <c r="D29" t="s">
        <v>159</v>
      </c>
      <c r="E29" t="s">
        <v>160</v>
      </c>
      <c r="F29" t="str">
        <f>VLOOKUP(E29,Tabela2[#All],2,FALSE)</f>
        <v>Válvula Nível 1</v>
      </c>
      <c r="G29" t="s">
        <v>161</v>
      </c>
      <c r="H29" s="1">
        <v>6.9130000000000003</v>
      </c>
      <c r="I29" s="1">
        <v>6.9130000000000003</v>
      </c>
      <c r="J29" t="s">
        <v>65</v>
      </c>
      <c r="K29" s="1">
        <v>76.315788999999995</v>
      </c>
      <c r="L29" s="1">
        <v>1.5</v>
      </c>
      <c r="M29" s="1">
        <v>14.25</v>
      </c>
      <c r="N29" s="1">
        <v>36446</v>
      </c>
      <c r="O29" t="s">
        <v>119</v>
      </c>
      <c r="P29" t="s">
        <v>117</v>
      </c>
      <c r="Q29" t="s">
        <v>68</v>
      </c>
      <c r="R29" s="1">
        <v>0.44</v>
      </c>
      <c r="S29" t="s">
        <v>50</v>
      </c>
      <c r="T29" s="1">
        <v>92.761343589999996</v>
      </c>
      <c r="U29" s="1">
        <v>92.761343589999996</v>
      </c>
      <c r="V29" s="1">
        <v>0</v>
      </c>
      <c r="W29" s="1">
        <v>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s="1">
        <v>0.625</v>
      </c>
      <c r="AH29" s="1">
        <v>1.4</v>
      </c>
      <c r="AI29" s="1">
        <v>0.16600000000000001</v>
      </c>
      <c r="AJ29" t="s">
        <v>50</v>
      </c>
      <c r="AK29" t="s">
        <v>50</v>
      </c>
      <c r="AL29" t="s">
        <v>50</v>
      </c>
      <c r="AM29" t="s">
        <v>50</v>
      </c>
      <c r="AN29" s="1">
        <v>9</v>
      </c>
      <c r="AO29" t="s">
        <v>50</v>
      </c>
      <c r="AP29" t="s">
        <v>162</v>
      </c>
      <c r="AQ29" s="1">
        <v>7811</v>
      </c>
      <c r="AR29" t="s">
        <v>70</v>
      </c>
    </row>
    <row r="30" spans="1:44">
      <c r="A30" s="1">
        <v>82569</v>
      </c>
      <c r="B30" s="1">
        <v>82570</v>
      </c>
      <c r="C30" s="1">
        <v>74959</v>
      </c>
      <c r="D30" t="s">
        <v>163</v>
      </c>
      <c r="E30" t="s">
        <v>164</v>
      </c>
      <c r="F30" t="str">
        <f>VLOOKUP(E30,Tabela2[#All],2,FALSE)</f>
        <v>Válvula Nível 1</v>
      </c>
      <c r="G30" t="s">
        <v>165</v>
      </c>
      <c r="H30" s="1">
        <v>6.9130000000000003</v>
      </c>
      <c r="I30" s="1">
        <v>6.9130000000000003</v>
      </c>
      <c r="J30" t="s">
        <v>65</v>
      </c>
      <c r="K30" s="1">
        <v>69.13</v>
      </c>
      <c r="L30" s="1">
        <v>1.5</v>
      </c>
      <c r="M30" s="1">
        <v>15</v>
      </c>
      <c r="N30" s="1">
        <v>36446</v>
      </c>
      <c r="O30" t="s">
        <v>119</v>
      </c>
      <c r="P30" t="s">
        <v>117</v>
      </c>
      <c r="Q30" t="s">
        <v>68</v>
      </c>
      <c r="R30" s="1">
        <v>0.43</v>
      </c>
      <c r="S30" t="s">
        <v>50</v>
      </c>
      <c r="T30" s="1">
        <v>97.808403870000006</v>
      </c>
      <c r="U30" s="1">
        <v>97.808403870000006</v>
      </c>
      <c r="V30" s="1">
        <v>0</v>
      </c>
      <c r="W30" s="1">
        <v>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s="1">
        <v>0.625</v>
      </c>
      <c r="AH30" s="1">
        <v>1.4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s="1">
        <v>9</v>
      </c>
      <c r="AO30" t="s">
        <v>50</v>
      </c>
      <c r="AP30" t="s">
        <v>166</v>
      </c>
      <c r="AQ30" s="1">
        <v>7809</v>
      </c>
      <c r="AR30" t="s">
        <v>70</v>
      </c>
    </row>
    <row r="31" spans="1:44">
      <c r="A31" s="1">
        <v>93109</v>
      </c>
      <c r="B31" s="1">
        <v>93108</v>
      </c>
      <c r="C31" s="1">
        <v>84906</v>
      </c>
      <c r="D31" t="s">
        <v>168</v>
      </c>
      <c r="E31" t="s">
        <v>169</v>
      </c>
      <c r="F31" t="str">
        <f>VLOOKUP(E31,Tabela2[#All],2,FALSE)</f>
        <v>Válvula Nível 1</v>
      </c>
      <c r="G31" t="s">
        <v>170</v>
      </c>
      <c r="H31" s="1">
        <v>18.760000000000002</v>
      </c>
      <c r="I31" s="1">
        <v>18.760000000000002</v>
      </c>
      <c r="J31" t="s">
        <v>65</v>
      </c>
      <c r="K31" s="1">
        <v>69.804878000000002</v>
      </c>
      <c r="L31" s="1">
        <v>0.75</v>
      </c>
      <c r="M31" s="1">
        <v>20.5</v>
      </c>
      <c r="N31" s="1">
        <v>36446</v>
      </c>
      <c r="O31" t="s">
        <v>119</v>
      </c>
      <c r="P31" t="s">
        <v>117</v>
      </c>
      <c r="Q31" t="s">
        <v>68</v>
      </c>
      <c r="R31" s="1">
        <v>1.2</v>
      </c>
      <c r="S31" t="s">
        <v>50</v>
      </c>
      <c r="T31" s="1">
        <v>228.01119156999999</v>
      </c>
      <c r="U31" s="1">
        <v>228.01119156999999</v>
      </c>
      <c r="V31" s="1">
        <v>0</v>
      </c>
      <c r="W31" s="1">
        <v>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s="1">
        <v>2</v>
      </c>
      <c r="AH31" s="1">
        <v>1.6</v>
      </c>
      <c r="AI31" t="s">
        <v>50</v>
      </c>
      <c r="AJ31" t="s">
        <v>50</v>
      </c>
      <c r="AK31" t="s">
        <v>50</v>
      </c>
      <c r="AL31" s="1">
        <v>2.5</v>
      </c>
      <c r="AM31" t="s">
        <v>50</v>
      </c>
      <c r="AN31" s="1">
        <v>21</v>
      </c>
      <c r="AO31" t="s">
        <v>50</v>
      </c>
      <c r="AP31" t="s">
        <v>171</v>
      </c>
      <c r="AQ31" s="1">
        <v>9527</v>
      </c>
      <c r="AR31" t="s">
        <v>70</v>
      </c>
    </row>
    <row r="32" spans="1:44">
      <c r="A32" s="1">
        <v>94810</v>
      </c>
      <c r="B32" s="1">
        <v>94811</v>
      </c>
      <c r="C32" s="1">
        <v>86528</v>
      </c>
      <c r="D32" t="s">
        <v>172</v>
      </c>
      <c r="E32" t="s">
        <v>173</v>
      </c>
      <c r="F32" t="str">
        <f>VLOOKUP(E32,Tabela2[#All],2,FALSE)</f>
        <v>Válvula Nível 1</v>
      </c>
      <c r="G32" t="s">
        <v>174</v>
      </c>
      <c r="H32" s="1">
        <v>12.8</v>
      </c>
      <c r="I32" s="1">
        <v>12.8</v>
      </c>
      <c r="J32" t="s">
        <v>65</v>
      </c>
      <c r="K32" s="1">
        <v>71.052632000000003</v>
      </c>
      <c r="L32" s="1">
        <v>0.75</v>
      </c>
      <c r="M32" s="1">
        <v>14.25</v>
      </c>
      <c r="N32" s="1">
        <v>36446</v>
      </c>
      <c r="O32" t="s">
        <v>119</v>
      </c>
      <c r="P32" t="s">
        <v>117</v>
      </c>
      <c r="Q32" t="s">
        <v>68</v>
      </c>
      <c r="R32" t="s">
        <v>50</v>
      </c>
      <c r="S32" t="s">
        <v>50</v>
      </c>
      <c r="T32" s="1">
        <v>150.00944987</v>
      </c>
      <c r="U32" s="1">
        <v>150.00944987</v>
      </c>
      <c r="V32" s="1">
        <v>0</v>
      </c>
      <c r="W32" s="1">
        <v>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s="1">
        <v>1.333</v>
      </c>
      <c r="AH32" s="1">
        <v>1.8</v>
      </c>
      <c r="AI32" s="1">
        <v>0.3</v>
      </c>
      <c r="AJ32" t="s">
        <v>50</v>
      </c>
      <c r="AK32" t="s">
        <v>50</v>
      </c>
      <c r="AL32" t="s">
        <v>50</v>
      </c>
      <c r="AM32" t="s">
        <v>50</v>
      </c>
      <c r="AN32" s="1">
        <v>15</v>
      </c>
      <c r="AO32" t="s">
        <v>50</v>
      </c>
      <c r="AP32" t="s">
        <v>175</v>
      </c>
      <c r="AQ32" s="1">
        <v>9927</v>
      </c>
      <c r="AR32" t="s">
        <v>70</v>
      </c>
    </row>
    <row r="33" spans="1:44">
      <c r="A33" s="1">
        <v>94810</v>
      </c>
      <c r="B33" s="1">
        <v>94811</v>
      </c>
      <c r="C33" s="1">
        <v>86528</v>
      </c>
      <c r="D33" t="s">
        <v>172</v>
      </c>
      <c r="E33" t="s">
        <v>173</v>
      </c>
      <c r="F33" t="str">
        <f>VLOOKUP(E33,Tabela2[#All],2,FALSE)</f>
        <v>Válvula Nível 1</v>
      </c>
      <c r="G33" t="s">
        <v>176</v>
      </c>
      <c r="H33" s="1">
        <v>12.8</v>
      </c>
      <c r="I33" s="1">
        <v>12.8</v>
      </c>
      <c r="J33" t="s">
        <v>65</v>
      </c>
      <c r="K33" s="1">
        <v>50.625</v>
      </c>
      <c r="L33" s="1">
        <v>0.75</v>
      </c>
      <c r="M33" s="1">
        <v>20</v>
      </c>
      <c r="N33" s="1">
        <v>36446</v>
      </c>
      <c r="O33" t="s">
        <v>119</v>
      </c>
      <c r="P33" t="s">
        <v>117</v>
      </c>
      <c r="Q33" t="s">
        <v>68</v>
      </c>
      <c r="R33" t="s">
        <v>50</v>
      </c>
      <c r="S33" t="s">
        <v>50</v>
      </c>
      <c r="T33" s="1">
        <v>150.00944987</v>
      </c>
      <c r="U33" s="1">
        <v>150.00944987</v>
      </c>
      <c r="V33" s="1">
        <v>0</v>
      </c>
      <c r="W33" s="1">
        <v>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s="1">
        <v>1.333</v>
      </c>
      <c r="AH33" s="1">
        <v>1.8</v>
      </c>
      <c r="AI33" s="1">
        <v>0.3</v>
      </c>
      <c r="AJ33" t="s">
        <v>50</v>
      </c>
      <c r="AK33" t="s">
        <v>50</v>
      </c>
      <c r="AL33" t="s">
        <v>50</v>
      </c>
      <c r="AM33" t="s">
        <v>50</v>
      </c>
      <c r="AN33" s="1">
        <v>15</v>
      </c>
      <c r="AO33" t="s">
        <v>50</v>
      </c>
      <c r="AP33" t="s">
        <v>177</v>
      </c>
      <c r="AQ33" s="1">
        <v>10007</v>
      </c>
      <c r="AR33" t="s">
        <v>178</v>
      </c>
    </row>
    <row r="34" spans="1:44">
      <c r="A34" s="1">
        <v>71182</v>
      </c>
      <c r="B34" s="1">
        <v>71180</v>
      </c>
      <c r="C34" s="1">
        <v>64600</v>
      </c>
      <c r="D34" t="s">
        <v>179</v>
      </c>
      <c r="E34" t="s">
        <v>180</v>
      </c>
      <c r="F34" t="str">
        <f>VLOOKUP(E34,Tabela2[#All],2,FALSE)</f>
        <v>Válvula Nível 1</v>
      </c>
      <c r="G34" t="s">
        <v>181</v>
      </c>
      <c r="H34" s="1">
        <v>9.8000000000000007</v>
      </c>
      <c r="I34" s="1">
        <v>9.8000000000000007</v>
      </c>
      <c r="J34" t="s">
        <v>65</v>
      </c>
      <c r="K34" s="1">
        <v>75</v>
      </c>
      <c r="L34" s="1">
        <v>1.5</v>
      </c>
      <c r="M34" s="1">
        <v>20</v>
      </c>
      <c r="N34" s="1">
        <v>36446</v>
      </c>
      <c r="O34" t="s">
        <v>119</v>
      </c>
      <c r="P34" t="s">
        <v>117</v>
      </c>
      <c r="Q34" t="s">
        <v>68</v>
      </c>
      <c r="R34" s="1">
        <v>0.63</v>
      </c>
      <c r="S34" t="s">
        <v>50</v>
      </c>
      <c r="T34" s="1">
        <v>112.22964832</v>
      </c>
      <c r="U34" s="1">
        <v>112.22964832</v>
      </c>
      <c r="V34" s="1">
        <v>0</v>
      </c>
      <c r="W34" s="1">
        <v>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s="1">
        <v>0.14280000000000001</v>
      </c>
      <c r="AH34" s="1">
        <v>1.1451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s="1">
        <v>12</v>
      </c>
      <c r="AO34" t="s">
        <v>50</v>
      </c>
      <c r="AP34" t="s">
        <v>182</v>
      </c>
      <c r="AQ34" s="1">
        <v>6171</v>
      </c>
      <c r="AR34" t="s">
        <v>70</v>
      </c>
    </row>
    <row r="35" spans="1:44">
      <c r="A35" s="1">
        <v>37215</v>
      </c>
      <c r="B35" s="1">
        <v>32402</v>
      </c>
      <c r="C35" s="1">
        <v>31735</v>
      </c>
      <c r="D35" t="s">
        <v>183</v>
      </c>
      <c r="E35" t="s">
        <v>184</v>
      </c>
      <c r="F35" t="str">
        <f>VLOOKUP(E35,Tabela2[#All],2,FALSE)</f>
        <v>Válvula Nível 4</v>
      </c>
      <c r="G35" t="s">
        <v>185</v>
      </c>
      <c r="H35" s="1">
        <v>2.0910000000000002</v>
      </c>
      <c r="I35" s="1">
        <v>2.0910000000000002</v>
      </c>
      <c r="J35" t="s">
        <v>65</v>
      </c>
      <c r="K35" s="1">
        <v>67.773960000000002</v>
      </c>
      <c r="L35" s="1">
        <v>5</v>
      </c>
      <c r="M35" s="1">
        <v>15.714</v>
      </c>
      <c r="N35" s="1">
        <v>36446</v>
      </c>
      <c r="O35" t="s">
        <v>119</v>
      </c>
      <c r="P35" t="s">
        <v>117</v>
      </c>
      <c r="Q35" t="s">
        <v>68</v>
      </c>
      <c r="R35" t="s">
        <v>50</v>
      </c>
      <c r="S35" s="1">
        <v>0.15</v>
      </c>
      <c r="T35" s="1">
        <v>23.463962380000002</v>
      </c>
      <c r="U35" s="1">
        <v>23.442468219999999</v>
      </c>
      <c r="V35" s="1">
        <v>0</v>
      </c>
      <c r="W35" s="1">
        <v>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s="1">
        <v>9.9500000000000005E-2</v>
      </c>
      <c r="AH35" s="1">
        <v>0.44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s="1">
        <v>1.98</v>
      </c>
      <c r="AO35" t="s">
        <v>50</v>
      </c>
      <c r="AP35" t="s">
        <v>186</v>
      </c>
      <c r="AQ35" s="1">
        <v>2251</v>
      </c>
      <c r="AR35" t="s">
        <v>70</v>
      </c>
    </row>
    <row r="36" spans="1:44">
      <c r="A36" s="1">
        <v>96849</v>
      </c>
      <c r="B36" s="1">
        <v>96850</v>
      </c>
      <c r="C36" s="1">
        <v>88526</v>
      </c>
      <c r="D36" t="s">
        <v>187</v>
      </c>
      <c r="E36" t="s">
        <v>188</v>
      </c>
      <c r="F36" t="str">
        <f>VLOOKUP(E36,Tabela2[#All],2,FALSE)</f>
        <v>Válvula Nível 4</v>
      </c>
      <c r="G36" t="s">
        <v>189</v>
      </c>
      <c r="H36" s="1">
        <v>2.6</v>
      </c>
      <c r="I36" s="1">
        <v>2.6</v>
      </c>
      <c r="J36" t="s">
        <v>65</v>
      </c>
      <c r="K36" s="1">
        <v>70.033670000000001</v>
      </c>
      <c r="L36" s="1">
        <v>4</v>
      </c>
      <c r="M36" s="1">
        <v>14.85</v>
      </c>
      <c r="N36" s="1">
        <v>36446</v>
      </c>
      <c r="O36" t="s">
        <v>119</v>
      </c>
      <c r="P36" t="s">
        <v>117</v>
      </c>
      <c r="Q36" t="s">
        <v>68</v>
      </c>
      <c r="R36" t="s">
        <v>50</v>
      </c>
      <c r="S36" s="1">
        <v>0.2</v>
      </c>
      <c r="T36" s="1">
        <v>29.628482779999999</v>
      </c>
      <c r="U36" s="1">
        <v>29.628482779999999</v>
      </c>
      <c r="V36" s="1">
        <v>0</v>
      </c>
      <c r="W36" s="1">
        <v>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s="1">
        <v>0.16700000000000001</v>
      </c>
      <c r="AH36" s="1">
        <v>1.125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s="1">
        <v>2.4</v>
      </c>
      <c r="AO36" t="s">
        <v>50</v>
      </c>
      <c r="AP36" t="s">
        <v>190</v>
      </c>
      <c r="AQ36" s="1">
        <v>11527</v>
      </c>
      <c r="AR36" t="s">
        <v>191</v>
      </c>
    </row>
    <row r="37" spans="1:44">
      <c r="A37" s="1">
        <v>109113</v>
      </c>
      <c r="B37" s="1">
        <v>109114</v>
      </c>
      <c r="C37" s="1">
        <v>91771</v>
      </c>
      <c r="D37" t="s">
        <v>192</v>
      </c>
      <c r="E37" t="s">
        <v>193</v>
      </c>
      <c r="F37" t="str">
        <f>VLOOKUP(E37,Tabela2[#All],2,FALSE)</f>
        <v>Válvula Nível 3</v>
      </c>
      <c r="G37" t="s">
        <v>194</v>
      </c>
      <c r="H37" s="1">
        <v>4.2</v>
      </c>
      <c r="I37" s="1">
        <v>4.2</v>
      </c>
      <c r="J37" t="s">
        <v>65</v>
      </c>
      <c r="K37" s="1">
        <v>79.814385000000001</v>
      </c>
      <c r="L37" s="1">
        <v>4</v>
      </c>
      <c r="M37" s="1">
        <v>21.55</v>
      </c>
      <c r="N37" s="1">
        <v>89565</v>
      </c>
      <c r="O37" t="s">
        <v>195</v>
      </c>
      <c r="P37" t="s">
        <v>117</v>
      </c>
      <c r="Q37" t="s">
        <v>68</v>
      </c>
      <c r="R37" s="1">
        <v>0.18</v>
      </c>
      <c r="S37" t="s">
        <v>50</v>
      </c>
      <c r="T37" s="1">
        <v>46.386451409999999</v>
      </c>
      <c r="U37" s="1">
        <v>45.965707039999998</v>
      </c>
      <c r="V37" s="1">
        <v>0</v>
      </c>
      <c r="W37" s="1">
        <v>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s="1">
        <v>0.25</v>
      </c>
      <c r="AH37" s="1">
        <v>0.7</v>
      </c>
      <c r="AI37" s="1">
        <v>0.4</v>
      </c>
      <c r="AJ37" t="s">
        <v>50</v>
      </c>
      <c r="AK37" t="s">
        <v>50</v>
      </c>
      <c r="AL37" t="s">
        <v>50</v>
      </c>
      <c r="AM37" t="s">
        <v>50</v>
      </c>
      <c r="AN37" s="1">
        <v>4.05</v>
      </c>
      <c r="AO37" t="s">
        <v>50</v>
      </c>
      <c r="AP37" t="s">
        <v>196</v>
      </c>
      <c r="AQ37" s="1">
        <v>11107</v>
      </c>
      <c r="AR37" t="s">
        <v>70</v>
      </c>
    </row>
    <row r="38" spans="1:44">
      <c r="A38" s="1">
        <v>118674</v>
      </c>
      <c r="B38" s="1">
        <v>118672</v>
      </c>
      <c r="C38" s="1">
        <v>100974</v>
      </c>
      <c r="D38" t="s">
        <v>197</v>
      </c>
      <c r="E38" t="s">
        <v>198</v>
      </c>
      <c r="F38" t="str">
        <f>VLOOKUP(E38,Tabela2[#All],2,FALSE)</f>
        <v>Válvula Nível 4</v>
      </c>
      <c r="G38" t="s">
        <v>199</v>
      </c>
      <c r="H38" s="1">
        <v>5.63</v>
      </c>
      <c r="I38" s="1">
        <v>5.63</v>
      </c>
      <c r="J38" t="s">
        <v>65</v>
      </c>
      <c r="K38" s="1">
        <v>71.002199000000005</v>
      </c>
      <c r="L38" s="1">
        <v>16</v>
      </c>
      <c r="M38" s="1">
        <v>127.32</v>
      </c>
      <c r="N38" s="1">
        <v>36446</v>
      </c>
      <c r="O38" t="s">
        <v>119</v>
      </c>
      <c r="P38" t="s">
        <v>117</v>
      </c>
      <c r="Q38" t="s">
        <v>68</v>
      </c>
      <c r="R38" t="s">
        <v>50</v>
      </c>
      <c r="S38" s="1">
        <v>0.4</v>
      </c>
      <c r="T38" s="1">
        <v>57.025112229999998</v>
      </c>
      <c r="U38" s="1">
        <v>57.025112229999998</v>
      </c>
      <c r="V38" s="1">
        <v>0</v>
      </c>
      <c r="W38" s="1">
        <v>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s="1">
        <v>0.25</v>
      </c>
      <c r="AH38" s="1">
        <v>1.2</v>
      </c>
      <c r="AI38" s="1">
        <v>0.15</v>
      </c>
      <c r="AJ38" t="s">
        <v>50</v>
      </c>
      <c r="AK38" t="s">
        <v>50</v>
      </c>
      <c r="AL38" t="s">
        <v>50</v>
      </c>
      <c r="AM38" t="s">
        <v>50</v>
      </c>
      <c r="AN38" s="1">
        <v>5.15</v>
      </c>
      <c r="AO38" t="s">
        <v>50</v>
      </c>
      <c r="AP38" t="s">
        <v>200</v>
      </c>
      <c r="AQ38" s="1">
        <v>13747</v>
      </c>
      <c r="AR38" t="s">
        <v>70</v>
      </c>
    </row>
    <row r="39" spans="1:44">
      <c r="A39" s="1">
        <v>120364</v>
      </c>
      <c r="B39" s="1">
        <v>54352</v>
      </c>
      <c r="C39" s="1">
        <v>48661</v>
      </c>
      <c r="D39" t="s">
        <v>201</v>
      </c>
      <c r="E39" t="s">
        <v>202</v>
      </c>
      <c r="F39" t="str">
        <f>VLOOKUP(E39,Tabela2[#All],2,FALSE)</f>
        <v>Válvula Nível 4</v>
      </c>
      <c r="G39" t="s">
        <v>203</v>
      </c>
      <c r="H39" s="1">
        <v>3.4</v>
      </c>
      <c r="I39" s="1">
        <v>3.4</v>
      </c>
      <c r="J39" t="s">
        <v>65</v>
      </c>
      <c r="K39" s="1">
        <v>74.520548000000005</v>
      </c>
      <c r="L39" s="1">
        <v>3.2</v>
      </c>
      <c r="M39" s="1">
        <v>14.6</v>
      </c>
      <c r="N39" s="1">
        <v>36446</v>
      </c>
      <c r="O39" t="s">
        <v>119</v>
      </c>
      <c r="P39" t="s">
        <v>117</v>
      </c>
      <c r="Q39" t="s">
        <v>68</v>
      </c>
      <c r="R39" t="s">
        <v>50</v>
      </c>
      <c r="S39" s="1">
        <v>0.38</v>
      </c>
      <c r="T39" s="1">
        <v>38.220526409999998</v>
      </c>
      <c r="U39" s="1">
        <v>38.220526409999998</v>
      </c>
      <c r="V39" s="1">
        <v>0</v>
      </c>
      <c r="W39" s="1">
        <v>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s="1">
        <v>0.625</v>
      </c>
      <c r="AH39" s="1">
        <v>0.88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s="1">
        <v>3.27</v>
      </c>
      <c r="AO39" t="s">
        <v>50</v>
      </c>
      <c r="AP39" t="s">
        <v>204</v>
      </c>
      <c r="AQ39" s="1">
        <v>3573</v>
      </c>
      <c r="AR39" t="s">
        <v>70</v>
      </c>
    </row>
    <row r="40" spans="1:44">
      <c r="A40" s="1">
        <v>37221</v>
      </c>
      <c r="B40" s="1">
        <v>32405</v>
      </c>
      <c r="C40" s="1">
        <v>31738</v>
      </c>
      <c r="D40" t="s">
        <v>205</v>
      </c>
      <c r="E40" t="s">
        <v>206</v>
      </c>
      <c r="F40" t="str">
        <f>VLOOKUP(E40,Tabela2[#All],2,FALSE)</f>
        <v>Válvula Nível 4</v>
      </c>
      <c r="G40" t="s">
        <v>207</v>
      </c>
      <c r="H40" s="1">
        <v>1.1599999999999999</v>
      </c>
      <c r="I40" s="1">
        <v>1.1599999999999999</v>
      </c>
      <c r="J40" t="s">
        <v>65</v>
      </c>
      <c r="K40" s="1">
        <v>66.081805000000003</v>
      </c>
      <c r="L40" s="1">
        <v>5</v>
      </c>
      <c r="M40" s="1">
        <v>8.7769999999999992</v>
      </c>
      <c r="N40" s="1">
        <v>36446</v>
      </c>
      <c r="O40" t="s">
        <v>119</v>
      </c>
      <c r="P40" t="s">
        <v>117</v>
      </c>
      <c r="Q40" t="s">
        <v>68</v>
      </c>
      <c r="R40" t="s">
        <v>50</v>
      </c>
      <c r="S40" s="1">
        <v>0.3</v>
      </c>
      <c r="T40" s="1">
        <v>21.744574400000001</v>
      </c>
      <c r="U40" s="1">
        <v>21.744574400000001</v>
      </c>
      <c r="V40" s="1">
        <v>0</v>
      </c>
      <c r="W40" s="1">
        <v>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s="1">
        <v>0.10416</v>
      </c>
      <c r="AH40" s="1">
        <v>0.77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s="1">
        <v>3</v>
      </c>
      <c r="AO40" t="s">
        <v>50</v>
      </c>
      <c r="AP40" t="s">
        <v>208</v>
      </c>
      <c r="AQ40" s="1">
        <v>1946</v>
      </c>
      <c r="AR40" t="s">
        <v>70</v>
      </c>
    </row>
    <row r="41" spans="1:44">
      <c r="A41" s="1">
        <v>58346</v>
      </c>
      <c r="B41" s="1">
        <v>58347</v>
      </c>
      <c r="C41" s="1">
        <v>52559</v>
      </c>
      <c r="D41" t="s">
        <v>209</v>
      </c>
      <c r="E41" t="s">
        <v>210</v>
      </c>
      <c r="F41" t="str">
        <f>VLOOKUP(E41,Tabela2[#All],2,FALSE)</f>
        <v>Válvula Nível 3</v>
      </c>
      <c r="G41" t="s">
        <v>211</v>
      </c>
      <c r="H41" s="1">
        <v>3.05</v>
      </c>
      <c r="I41" s="1">
        <v>3.05</v>
      </c>
      <c r="J41" t="s">
        <v>65</v>
      </c>
      <c r="K41" s="1">
        <v>71.190468999999993</v>
      </c>
      <c r="L41" s="1">
        <v>3.3333330000000001</v>
      </c>
      <c r="M41" s="1">
        <v>14</v>
      </c>
      <c r="N41" s="1">
        <v>36446</v>
      </c>
      <c r="O41" t="s">
        <v>119</v>
      </c>
      <c r="P41" t="s">
        <v>117</v>
      </c>
      <c r="Q41" t="s">
        <v>68</v>
      </c>
      <c r="R41" t="s">
        <v>50</v>
      </c>
      <c r="S41" t="s">
        <v>50</v>
      </c>
      <c r="T41" s="1">
        <v>38.374546340000002</v>
      </c>
      <c r="U41" s="1">
        <v>38.374546340000002</v>
      </c>
      <c r="V41" s="1">
        <v>0</v>
      </c>
      <c r="W41" s="1">
        <v>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s="1">
        <v>0.17849999999999999</v>
      </c>
      <c r="AH41" s="1">
        <v>0.76100000000000001</v>
      </c>
      <c r="AI41" s="1">
        <v>5.7000000000000002E-2</v>
      </c>
      <c r="AJ41" t="s">
        <v>50</v>
      </c>
      <c r="AK41" t="s">
        <v>50</v>
      </c>
      <c r="AL41" t="s">
        <v>50</v>
      </c>
      <c r="AM41" t="s">
        <v>50</v>
      </c>
      <c r="AN41" s="1">
        <v>3.6</v>
      </c>
      <c r="AO41" t="s">
        <v>50</v>
      </c>
      <c r="AP41" t="s">
        <v>212</v>
      </c>
      <c r="AQ41" s="1">
        <v>4247</v>
      </c>
      <c r="AR41" t="s">
        <v>70</v>
      </c>
    </row>
    <row r="42" spans="1:44">
      <c r="A42" s="1">
        <v>66700</v>
      </c>
      <c r="B42" s="1">
        <v>66701</v>
      </c>
      <c r="C42" s="1">
        <v>60653</v>
      </c>
      <c r="D42" t="s">
        <v>213</v>
      </c>
      <c r="E42" t="s">
        <v>214</v>
      </c>
      <c r="F42" t="str">
        <f>VLOOKUP(E42,Tabela2[#All],2,FALSE)</f>
        <v>Válvula Nível 3</v>
      </c>
      <c r="G42" t="s">
        <v>215</v>
      </c>
      <c r="H42" s="1">
        <v>3.5</v>
      </c>
      <c r="I42" s="1">
        <v>3.5</v>
      </c>
      <c r="J42" t="s">
        <v>65</v>
      </c>
      <c r="K42" s="1">
        <v>81.397233999999997</v>
      </c>
      <c r="L42" s="1">
        <v>3.3333330000000001</v>
      </c>
      <c r="M42" s="1">
        <v>14.333</v>
      </c>
      <c r="N42" s="1">
        <v>36446</v>
      </c>
      <c r="O42" t="s">
        <v>119</v>
      </c>
      <c r="P42" t="s">
        <v>117</v>
      </c>
      <c r="Q42" t="s">
        <v>68</v>
      </c>
      <c r="R42" s="1">
        <v>0.28000000000000003</v>
      </c>
      <c r="S42" t="s">
        <v>50</v>
      </c>
      <c r="T42" s="1">
        <v>47.725261779999997</v>
      </c>
      <c r="U42" s="1">
        <v>47.725261779999997</v>
      </c>
      <c r="V42" s="1">
        <v>0</v>
      </c>
      <c r="W42" s="1">
        <v>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s="1">
        <v>0.2</v>
      </c>
      <c r="AH42" s="1">
        <v>0.5</v>
      </c>
      <c r="AI42" s="1">
        <v>7.6999999999999999E-2</v>
      </c>
      <c r="AJ42" t="s">
        <v>50</v>
      </c>
      <c r="AK42" t="s">
        <v>50</v>
      </c>
      <c r="AL42" t="s">
        <v>50</v>
      </c>
      <c r="AM42" t="s">
        <v>50</v>
      </c>
      <c r="AN42" s="1">
        <v>4.5</v>
      </c>
      <c r="AO42" t="s">
        <v>50</v>
      </c>
      <c r="AP42" t="s">
        <v>216</v>
      </c>
      <c r="AQ42" s="1">
        <v>5647</v>
      </c>
      <c r="AR42" t="s">
        <v>70</v>
      </c>
    </row>
    <row r="43" spans="1:44">
      <c r="A43" s="1">
        <v>66698</v>
      </c>
      <c r="B43" s="1">
        <v>66699</v>
      </c>
      <c r="C43" s="1">
        <v>60651</v>
      </c>
      <c r="D43" t="s">
        <v>217</v>
      </c>
      <c r="E43" t="s">
        <v>218</v>
      </c>
      <c r="F43" t="str">
        <f>VLOOKUP(E43,Tabela2[#All],2,FALSE)</f>
        <v>Válvula Nível 3</v>
      </c>
      <c r="G43" t="s">
        <v>219</v>
      </c>
      <c r="H43" s="1">
        <v>3.5</v>
      </c>
      <c r="I43" s="1">
        <v>3.5</v>
      </c>
      <c r="J43" t="s">
        <v>65</v>
      </c>
      <c r="K43" s="1">
        <v>76.344077999999996</v>
      </c>
      <c r="L43" s="1">
        <v>3.3333330000000001</v>
      </c>
      <c r="M43" s="1">
        <v>15.5</v>
      </c>
      <c r="N43" s="1">
        <v>36446</v>
      </c>
      <c r="O43" t="s">
        <v>119</v>
      </c>
      <c r="P43" t="s">
        <v>117</v>
      </c>
      <c r="Q43" t="s">
        <v>68</v>
      </c>
      <c r="R43" s="1">
        <v>0.25</v>
      </c>
      <c r="S43" t="s">
        <v>50</v>
      </c>
      <c r="T43" s="1">
        <v>49.294189729999999</v>
      </c>
      <c r="U43" s="1">
        <v>49.294189729999999</v>
      </c>
      <c r="V43" s="1">
        <v>0</v>
      </c>
      <c r="W43" s="1">
        <v>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s="1">
        <v>0.2</v>
      </c>
      <c r="AH43" s="1">
        <v>0.5</v>
      </c>
      <c r="AI43" s="1">
        <v>7.4999999999999997E-2</v>
      </c>
      <c r="AJ43" t="s">
        <v>50</v>
      </c>
      <c r="AK43" t="s">
        <v>50</v>
      </c>
      <c r="AL43" t="s">
        <v>50</v>
      </c>
      <c r="AM43" t="s">
        <v>50</v>
      </c>
      <c r="AN43" s="1">
        <v>4.5</v>
      </c>
      <c r="AO43" t="s">
        <v>50</v>
      </c>
      <c r="AP43" t="s">
        <v>220</v>
      </c>
      <c r="AQ43" s="1">
        <v>5627</v>
      </c>
      <c r="AR43" t="s">
        <v>70</v>
      </c>
    </row>
    <row r="44" spans="1:44">
      <c r="A44" s="1">
        <v>50108</v>
      </c>
      <c r="B44" s="1">
        <v>50109</v>
      </c>
      <c r="C44" s="1">
        <v>44827</v>
      </c>
      <c r="D44" t="s">
        <v>221</v>
      </c>
      <c r="E44" t="s">
        <v>222</v>
      </c>
      <c r="F44" t="str">
        <f>VLOOKUP(E44,Tabela2[#All],2,FALSE)</f>
        <v>Válvula Nível 4</v>
      </c>
      <c r="G44" t="s">
        <v>223</v>
      </c>
      <c r="H44" s="1">
        <v>4.45</v>
      </c>
      <c r="I44" s="1">
        <v>4.45</v>
      </c>
      <c r="J44" t="s">
        <v>65</v>
      </c>
      <c r="K44" s="1">
        <v>72.907216000000005</v>
      </c>
      <c r="L44" s="1">
        <v>3.2</v>
      </c>
      <c r="M44" s="1">
        <v>19.399999999999999</v>
      </c>
      <c r="N44" s="1">
        <v>36446</v>
      </c>
      <c r="O44" t="s">
        <v>119</v>
      </c>
      <c r="P44" t="s">
        <v>117</v>
      </c>
      <c r="Q44" t="s">
        <v>68</v>
      </c>
      <c r="R44" t="s">
        <v>50</v>
      </c>
      <c r="S44" s="1">
        <v>0.55000000000000004</v>
      </c>
      <c r="T44" s="1">
        <v>43.655310229999998</v>
      </c>
      <c r="U44" s="1">
        <v>43.655310229999998</v>
      </c>
      <c r="V44" s="1">
        <v>0</v>
      </c>
      <c r="W44" s="1">
        <v>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s="1">
        <v>0.25</v>
      </c>
      <c r="AH44" s="1">
        <v>1.3499000000000001</v>
      </c>
      <c r="AI44" s="1">
        <v>0.04</v>
      </c>
      <c r="AJ44" t="s">
        <v>50</v>
      </c>
      <c r="AK44" t="s">
        <v>50</v>
      </c>
      <c r="AL44" t="s">
        <v>50</v>
      </c>
      <c r="AM44" t="s">
        <v>50</v>
      </c>
      <c r="AN44" s="1">
        <v>3.6</v>
      </c>
      <c r="AO44" t="s">
        <v>50</v>
      </c>
      <c r="AP44" t="s">
        <v>224</v>
      </c>
      <c r="AQ44" s="1">
        <v>2736</v>
      </c>
      <c r="AR44" t="s">
        <v>70</v>
      </c>
    </row>
    <row r="45" spans="1:44">
      <c r="A45" s="1">
        <v>120360</v>
      </c>
      <c r="B45" s="1">
        <v>54354</v>
      </c>
      <c r="C45" s="1">
        <v>48663</v>
      </c>
      <c r="D45" t="s">
        <v>225</v>
      </c>
      <c r="E45" t="s">
        <v>131</v>
      </c>
      <c r="F45" t="str">
        <f>VLOOKUP(E45,Tabela2[#All],2,FALSE)</f>
        <v>Válvula Nível 4</v>
      </c>
      <c r="G45" t="s">
        <v>132</v>
      </c>
      <c r="H45" s="1">
        <v>4.0999999999999996</v>
      </c>
      <c r="I45" s="1">
        <v>4.0999999999999996</v>
      </c>
      <c r="J45" t="s">
        <v>65</v>
      </c>
      <c r="K45" s="1">
        <v>76.875</v>
      </c>
      <c r="L45" s="1">
        <v>3</v>
      </c>
      <c r="M45" s="1">
        <v>16</v>
      </c>
      <c r="N45" s="1">
        <v>36446</v>
      </c>
      <c r="O45" t="s">
        <v>119</v>
      </c>
      <c r="P45" t="s">
        <v>117</v>
      </c>
      <c r="Q45" t="s">
        <v>68</v>
      </c>
      <c r="R45" t="s">
        <v>50</v>
      </c>
      <c r="S45" s="1">
        <v>0.38</v>
      </c>
      <c r="T45" s="1">
        <v>45.052741830000002</v>
      </c>
      <c r="U45" s="1">
        <v>45.052741830000002</v>
      </c>
      <c r="V45" s="1">
        <v>0</v>
      </c>
      <c r="W45" s="1">
        <v>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s="1">
        <v>0.625</v>
      </c>
      <c r="AH45" s="1">
        <v>0.88</v>
      </c>
      <c r="AI45" s="1">
        <v>6.5199999999999994E-2</v>
      </c>
      <c r="AJ45" t="s">
        <v>50</v>
      </c>
      <c r="AK45" t="s">
        <v>50</v>
      </c>
      <c r="AL45" t="s">
        <v>50</v>
      </c>
      <c r="AM45" t="s">
        <v>50</v>
      </c>
      <c r="AN45" s="1">
        <v>5.13</v>
      </c>
      <c r="AO45" t="s">
        <v>50</v>
      </c>
      <c r="AP45" t="s">
        <v>133</v>
      </c>
      <c r="AQ45" s="1">
        <v>3571</v>
      </c>
      <c r="AR45" t="s">
        <v>70</v>
      </c>
    </row>
    <row r="46" spans="1:44">
      <c r="A46" s="1">
        <v>37241</v>
      </c>
      <c r="B46" s="1">
        <v>32403</v>
      </c>
      <c r="C46" s="1">
        <v>31736</v>
      </c>
      <c r="D46" t="s">
        <v>226</v>
      </c>
      <c r="E46" t="s">
        <v>227</v>
      </c>
      <c r="F46" t="str">
        <f>VLOOKUP(E46,Tabela2[#All],2,FALSE)</f>
        <v>Válvula Nível 3</v>
      </c>
      <c r="G46" t="s">
        <v>228</v>
      </c>
      <c r="H46" s="1">
        <v>3.46</v>
      </c>
      <c r="I46" s="1">
        <v>3.46</v>
      </c>
      <c r="J46" t="s">
        <v>65</v>
      </c>
      <c r="K46" s="1">
        <v>79.030985999999999</v>
      </c>
      <c r="L46" s="1">
        <v>3.2</v>
      </c>
      <c r="M46" s="1">
        <v>14.2</v>
      </c>
      <c r="N46" s="1">
        <v>36446</v>
      </c>
      <c r="O46" t="s">
        <v>119</v>
      </c>
      <c r="P46" t="s">
        <v>117</v>
      </c>
      <c r="Q46" t="s">
        <v>68</v>
      </c>
      <c r="R46" s="1">
        <v>0.23</v>
      </c>
      <c r="S46" t="s">
        <v>50</v>
      </c>
      <c r="T46" s="1">
        <v>48.087250269999998</v>
      </c>
      <c r="U46" s="1">
        <v>48.087250269999998</v>
      </c>
      <c r="V46" s="1">
        <v>0</v>
      </c>
      <c r="W46" s="1">
        <v>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s="1">
        <v>0.20830000000000001</v>
      </c>
      <c r="AH46" s="1">
        <v>0.73839999999999995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s="1">
        <v>5.4</v>
      </c>
      <c r="AO46" t="s">
        <v>50</v>
      </c>
      <c r="AP46" t="s">
        <v>229</v>
      </c>
      <c r="AQ46" s="1">
        <v>2253</v>
      </c>
      <c r="AR46" t="s">
        <v>70</v>
      </c>
    </row>
    <row r="47" spans="1:44">
      <c r="A47" s="1">
        <v>114455</v>
      </c>
      <c r="B47" s="1">
        <v>114453</v>
      </c>
      <c r="C47" s="1">
        <v>96936</v>
      </c>
      <c r="D47" t="s">
        <v>230</v>
      </c>
      <c r="E47" t="s">
        <v>231</v>
      </c>
      <c r="F47" t="str">
        <f>VLOOKUP(E47,Tabela2[#All],2,FALSE)</f>
        <v>Válvula Nível 3</v>
      </c>
      <c r="G47" t="s">
        <v>232</v>
      </c>
      <c r="H47" s="1">
        <v>4.96</v>
      </c>
      <c r="I47" s="1">
        <v>4.96</v>
      </c>
      <c r="J47" t="s">
        <v>65</v>
      </c>
      <c r="K47" s="1">
        <v>63.663663999999997</v>
      </c>
      <c r="L47" s="1">
        <v>1.6</v>
      </c>
      <c r="M47" s="1">
        <v>13.32</v>
      </c>
      <c r="N47" s="1">
        <v>36446</v>
      </c>
      <c r="O47" t="s">
        <v>119</v>
      </c>
      <c r="P47" t="s">
        <v>117</v>
      </c>
      <c r="Q47" t="s">
        <v>68</v>
      </c>
      <c r="R47" s="1">
        <v>0.32</v>
      </c>
      <c r="S47" t="s">
        <v>50</v>
      </c>
      <c r="T47" s="1">
        <v>63.976327570000002</v>
      </c>
      <c r="U47" s="1">
        <v>63.976327570000002</v>
      </c>
      <c r="V47" s="1">
        <v>0</v>
      </c>
      <c r="W47" s="1">
        <v>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s="1">
        <v>0.3125</v>
      </c>
      <c r="AH47" s="1">
        <v>1.25</v>
      </c>
      <c r="AI47" s="1">
        <v>0.15329999999999999</v>
      </c>
      <c r="AJ47" t="s">
        <v>50</v>
      </c>
      <c r="AK47" t="s">
        <v>50</v>
      </c>
      <c r="AL47" t="s">
        <v>50</v>
      </c>
      <c r="AM47" t="s">
        <v>50</v>
      </c>
      <c r="AN47" s="1">
        <v>6</v>
      </c>
      <c r="AO47" t="s">
        <v>50</v>
      </c>
      <c r="AP47" t="s">
        <v>233</v>
      </c>
      <c r="AQ47" s="1">
        <v>12587</v>
      </c>
      <c r="AR47" t="s">
        <v>70</v>
      </c>
    </row>
    <row r="48" spans="1:44">
      <c r="A48" s="1">
        <v>37253</v>
      </c>
      <c r="B48" s="1">
        <v>37272</v>
      </c>
      <c r="C48" s="1">
        <v>31740</v>
      </c>
      <c r="D48" t="s">
        <v>234</v>
      </c>
      <c r="E48" t="s">
        <v>235</v>
      </c>
      <c r="F48" t="str">
        <f>VLOOKUP(E48,Tabela2[#All],2,FALSE)</f>
        <v>CORPO DE VÁLVULA COM MACHO</v>
      </c>
      <c r="G48" t="s">
        <v>236</v>
      </c>
      <c r="H48" s="1">
        <v>6.4</v>
      </c>
      <c r="I48" s="1">
        <v>6.4</v>
      </c>
      <c r="J48" t="s">
        <v>46</v>
      </c>
      <c r="K48" s="1">
        <v>58.319468000000001</v>
      </c>
      <c r="L48" s="1">
        <v>2</v>
      </c>
      <c r="M48" s="1">
        <v>24.04</v>
      </c>
      <c r="N48" s="1">
        <v>33009</v>
      </c>
      <c r="O48" t="s">
        <v>74</v>
      </c>
      <c r="P48" t="s">
        <v>117</v>
      </c>
      <c r="Q48" t="s">
        <v>68</v>
      </c>
      <c r="R48" t="s">
        <v>50</v>
      </c>
      <c r="S48" t="s">
        <v>50</v>
      </c>
      <c r="T48" s="1">
        <v>66.3344898</v>
      </c>
      <c r="U48" s="1">
        <v>52.714798010000003</v>
      </c>
      <c r="V48" s="1">
        <v>0</v>
      </c>
      <c r="W48" s="1">
        <v>0</v>
      </c>
      <c r="X48" s="1">
        <v>1.1451</v>
      </c>
      <c r="Y48" s="1">
        <v>0.15</v>
      </c>
      <c r="Z48" t="s">
        <v>50</v>
      </c>
      <c r="AA48" t="s">
        <v>50</v>
      </c>
      <c r="AB48" t="s">
        <v>50</v>
      </c>
      <c r="AC48" t="s">
        <v>50</v>
      </c>
      <c r="AD48" s="1">
        <v>4.5</v>
      </c>
      <c r="AE48" t="s">
        <v>50</v>
      </c>
      <c r="AF48" s="1">
        <v>0.40920000000000001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237</v>
      </c>
      <c r="AQ48" s="1">
        <v>2136</v>
      </c>
      <c r="AR48" t="s">
        <v>51</v>
      </c>
    </row>
    <row r="49" spans="1:44">
      <c r="A49" s="1">
        <v>110799</v>
      </c>
      <c r="B49" s="1">
        <v>110800</v>
      </c>
      <c r="C49" s="1">
        <v>93451</v>
      </c>
      <c r="D49" t="s">
        <v>239</v>
      </c>
      <c r="E49" t="s">
        <v>240</v>
      </c>
      <c r="F49" t="str">
        <f>VLOOKUP(E49,Tabela2[#All],2,FALSE)</f>
        <v>Válvula Nível 1</v>
      </c>
      <c r="G49" t="s">
        <v>241</v>
      </c>
      <c r="H49" s="1">
        <v>13</v>
      </c>
      <c r="I49" s="1">
        <v>13.1</v>
      </c>
      <c r="J49" t="s">
        <v>65</v>
      </c>
      <c r="K49" s="1">
        <v>68.016615000000002</v>
      </c>
      <c r="L49" s="1">
        <v>1</v>
      </c>
      <c r="M49" s="1">
        <v>19.260000000000002</v>
      </c>
      <c r="N49" s="1">
        <v>36446</v>
      </c>
      <c r="O49" t="s">
        <v>119</v>
      </c>
      <c r="P49" t="s">
        <v>117</v>
      </c>
      <c r="Q49" t="s">
        <v>68</v>
      </c>
      <c r="R49" s="1">
        <v>1.1000000000000001</v>
      </c>
      <c r="S49" t="s">
        <v>50</v>
      </c>
      <c r="T49" s="1">
        <v>262.02703809000002</v>
      </c>
      <c r="U49" s="1">
        <v>262.02703809000002</v>
      </c>
      <c r="V49" s="1">
        <v>0</v>
      </c>
      <c r="W49" s="1">
        <v>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s="1">
        <v>1.33</v>
      </c>
      <c r="AH49" s="1">
        <v>1.7646999999999999</v>
      </c>
      <c r="AI49" s="1">
        <v>0.83799999999999997</v>
      </c>
      <c r="AJ49" t="s">
        <v>50</v>
      </c>
      <c r="AK49" t="s">
        <v>50</v>
      </c>
      <c r="AL49" t="s">
        <v>50</v>
      </c>
      <c r="AM49" t="s">
        <v>50</v>
      </c>
      <c r="AN49" s="1">
        <v>19.75</v>
      </c>
      <c r="AO49" t="s">
        <v>50</v>
      </c>
      <c r="AP49" t="s">
        <v>242</v>
      </c>
      <c r="AQ49" s="1">
        <v>11607</v>
      </c>
      <c r="AR49" t="s">
        <v>70</v>
      </c>
    </row>
    <row r="50" spans="1:44">
      <c r="A50" s="1">
        <v>120031</v>
      </c>
      <c r="B50" s="1">
        <v>70778</v>
      </c>
      <c r="C50" s="1">
        <v>64309</v>
      </c>
      <c r="D50" t="s">
        <v>243</v>
      </c>
      <c r="E50" t="s">
        <v>143</v>
      </c>
      <c r="F50" t="str">
        <f>VLOOKUP(E50,Tabela2[#All],2,FALSE)</f>
        <v>Válvula Nível 1</v>
      </c>
      <c r="G50" t="s">
        <v>144</v>
      </c>
      <c r="H50" s="1">
        <v>3.05</v>
      </c>
      <c r="I50" s="1">
        <v>3.05</v>
      </c>
      <c r="J50" t="s">
        <v>65</v>
      </c>
      <c r="K50" s="1">
        <v>65.934066000000001</v>
      </c>
      <c r="L50" s="1">
        <v>3.2</v>
      </c>
      <c r="M50" s="1">
        <v>18.2</v>
      </c>
      <c r="N50" s="1">
        <v>36446</v>
      </c>
      <c r="O50" t="s">
        <v>119</v>
      </c>
      <c r="P50" t="s">
        <v>117</v>
      </c>
      <c r="Q50" t="s">
        <v>68</v>
      </c>
      <c r="R50" s="1">
        <v>0.26</v>
      </c>
      <c r="S50" t="s">
        <v>50</v>
      </c>
      <c r="T50" s="1">
        <v>132.59983020000001</v>
      </c>
      <c r="U50" s="1">
        <v>64.606300200000007</v>
      </c>
      <c r="V50" s="1">
        <v>0</v>
      </c>
      <c r="W50" s="1">
        <v>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s="1">
        <v>0.35</v>
      </c>
      <c r="AH50" s="1">
        <v>1.2330000000000001</v>
      </c>
      <c r="AI50" s="1">
        <v>0.2</v>
      </c>
      <c r="AJ50" t="s">
        <v>50</v>
      </c>
      <c r="AK50" t="s">
        <v>50</v>
      </c>
      <c r="AL50" t="s">
        <v>50</v>
      </c>
      <c r="AM50" t="s">
        <v>50</v>
      </c>
      <c r="AN50" s="1">
        <v>9</v>
      </c>
      <c r="AO50" t="s">
        <v>50</v>
      </c>
      <c r="AP50" t="s">
        <v>145</v>
      </c>
      <c r="AQ50" s="1">
        <v>6089</v>
      </c>
      <c r="AR50" t="s">
        <v>70</v>
      </c>
    </row>
    <row r="51" spans="1:44">
      <c r="A51" s="1">
        <v>107087</v>
      </c>
      <c r="B51" s="1">
        <v>32404</v>
      </c>
      <c r="C51" s="1">
        <v>31737</v>
      </c>
      <c r="D51" t="s">
        <v>244</v>
      </c>
      <c r="E51" t="s">
        <v>127</v>
      </c>
      <c r="F51" t="str">
        <f>VLOOKUP(E51,Tabela2[#All],2,FALSE)</f>
        <v>Válvula Nível 3</v>
      </c>
      <c r="G51" t="s">
        <v>128</v>
      </c>
      <c r="H51" s="1">
        <v>2.2050000000000001</v>
      </c>
      <c r="I51" s="1">
        <v>2.2050000000000001</v>
      </c>
      <c r="J51" t="s">
        <v>65</v>
      </c>
      <c r="K51" s="1">
        <v>70.685587999999996</v>
      </c>
      <c r="L51" s="1">
        <v>3.4333</v>
      </c>
      <c r="M51" s="1">
        <v>14.28</v>
      </c>
      <c r="N51" s="1">
        <v>36446</v>
      </c>
      <c r="O51" t="s">
        <v>119</v>
      </c>
      <c r="P51" t="s">
        <v>117</v>
      </c>
      <c r="Q51" t="s">
        <v>68</v>
      </c>
      <c r="R51" s="1">
        <v>0.25</v>
      </c>
      <c r="S51" t="s">
        <v>50</v>
      </c>
      <c r="T51" s="1">
        <v>73.377047680000004</v>
      </c>
      <c r="U51" s="1">
        <v>41.08038268</v>
      </c>
      <c r="V51" s="1">
        <v>0</v>
      </c>
      <c r="W51" s="1">
        <v>0</v>
      </c>
      <c r="X51" t="s">
        <v>50</v>
      </c>
      <c r="Y51" t="s">
        <v>50</v>
      </c>
      <c r="Z51" t="s">
        <v>50</v>
      </c>
      <c r="AA51" t="s">
        <v>50</v>
      </c>
      <c r="AB51" s="1">
        <v>10.62</v>
      </c>
      <c r="AC51" t="s">
        <v>50</v>
      </c>
      <c r="AD51" t="s">
        <v>50</v>
      </c>
      <c r="AE51" t="s">
        <v>50</v>
      </c>
      <c r="AF51" t="s">
        <v>50</v>
      </c>
      <c r="AG51" s="1">
        <v>0.17849999999999999</v>
      </c>
      <c r="AH51" s="1">
        <v>0.92</v>
      </c>
      <c r="AI51" s="1">
        <v>7.1800000000000003E-2</v>
      </c>
      <c r="AJ51" t="s">
        <v>50</v>
      </c>
      <c r="AK51" t="s">
        <v>50</v>
      </c>
      <c r="AL51" t="s">
        <v>50</v>
      </c>
      <c r="AM51" t="s">
        <v>50</v>
      </c>
      <c r="AN51" s="1">
        <v>4.26</v>
      </c>
      <c r="AO51" t="s">
        <v>50</v>
      </c>
      <c r="AP51" t="s">
        <v>129</v>
      </c>
      <c r="AQ51" s="1">
        <v>1945</v>
      </c>
      <c r="AR51" t="s">
        <v>70</v>
      </c>
    </row>
    <row r="52" spans="1:44">
      <c r="A52" s="1">
        <v>118351</v>
      </c>
      <c r="B52" s="1">
        <v>32404</v>
      </c>
      <c r="C52" s="1">
        <v>31737</v>
      </c>
      <c r="D52" t="s">
        <v>245</v>
      </c>
      <c r="E52" t="s">
        <v>127</v>
      </c>
      <c r="F52" t="str">
        <f>VLOOKUP(E52,Tabela2[#All],2,FALSE)</f>
        <v>Válvula Nível 3</v>
      </c>
      <c r="G52" t="s">
        <v>128</v>
      </c>
      <c r="H52" s="1">
        <v>2.2050000000000001</v>
      </c>
      <c r="I52" s="1">
        <v>2.2050000000000001</v>
      </c>
      <c r="J52" t="s">
        <v>65</v>
      </c>
      <c r="K52" s="1">
        <v>70.685587999999996</v>
      </c>
      <c r="L52" s="1">
        <v>3.4333</v>
      </c>
      <c r="M52" s="1">
        <v>14.28</v>
      </c>
      <c r="N52" s="1">
        <v>36446</v>
      </c>
      <c r="O52" t="s">
        <v>119</v>
      </c>
      <c r="P52" t="s">
        <v>117</v>
      </c>
      <c r="Q52" t="s">
        <v>68</v>
      </c>
      <c r="R52" s="1">
        <v>0.25</v>
      </c>
      <c r="S52" t="s">
        <v>50</v>
      </c>
      <c r="T52" s="1">
        <v>73.377047680000004</v>
      </c>
      <c r="U52" s="1">
        <v>41.08038268</v>
      </c>
      <c r="V52" s="1">
        <v>0</v>
      </c>
      <c r="W52" s="1">
        <v>0</v>
      </c>
      <c r="X52" t="s">
        <v>50</v>
      </c>
      <c r="Y52" t="s">
        <v>50</v>
      </c>
      <c r="Z52" t="s">
        <v>50</v>
      </c>
      <c r="AA52" t="s">
        <v>50</v>
      </c>
      <c r="AB52" s="1">
        <v>10.62</v>
      </c>
      <c r="AC52" t="s">
        <v>50</v>
      </c>
      <c r="AD52" t="s">
        <v>50</v>
      </c>
      <c r="AE52" t="s">
        <v>50</v>
      </c>
      <c r="AF52" t="s">
        <v>50</v>
      </c>
      <c r="AG52" s="1">
        <v>0.17849999999999999</v>
      </c>
      <c r="AH52" s="1">
        <v>0.92</v>
      </c>
      <c r="AI52" s="1">
        <v>7.1800000000000003E-2</v>
      </c>
      <c r="AJ52" t="s">
        <v>50</v>
      </c>
      <c r="AK52" t="s">
        <v>50</v>
      </c>
      <c r="AL52" t="s">
        <v>50</v>
      </c>
      <c r="AM52" t="s">
        <v>50</v>
      </c>
      <c r="AN52" s="1">
        <v>4.26</v>
      </c>
      <c r="AO52" t="s">
        <v>50</v>
      </c>
      <c r="AP52" t="s">
        <v>129</v>
      </c>
      <c r="AQ52" s="1">
        <v>1945</v>
      </c>
      <c r="AR52" t="s">
        <v>70</v>
      </c>
    </row>
    <row r="53" spans="1:44">
      <c r="A53" s="1">
        <v>119971</v>
      </c>
      <c r="B53" s="1">
        <v>32404</v>
      </c>
      <c r="C53" s="1">
        <v>31737</v>
      </c>
      <c r="D53" t="s">
        <v>246</v>
      </c>
      <c r="E53" t="s">
        <v>127</v>
      </c>
      <c r="F53" t="str">
        <f>VLOOKUP(E53,Tabela2[#All],2,FALSE)</f>
        <v>Válvula Nível 3</v>
      </c>
      <c r="G53" t="s">
        <v>128</v>
      </c>
      <c r="H53" s="1">
        <v>2.2050000000000001</v>
      </c>
      <c r="I53" s="1">
        <v>2.2050000000000001</v>
      </c>
      <c r="J53" t="s">
        <v>65</v>
      </c>
      <c r="K53" s="1">
        <v>70.685587999999996</v>
      </c>
      <c r="L53" s="1">
        <v>3.4333</v>
      </c>
      <c r="M53" s="1">
        <v>14.28</v>
      </c>
      <c r="N53" s="1">
        <v>36446</v>
      </c>
      <c r="O53" t="s">
        <v>119</v>
      </c>
      <c r="P53" t="s">
        <v>117</v>
      </c>
      <c r="Q53" t="s">
        <v>68</v>
      </c>
      <c r="R53" s="1">
        <v>0.25</v>
      </c>
      <c r="S53" t="s">
        <v>50</v>
      </c>
      <c r="T53" s="1">
        <v>74.202767679999994</v>
      </c>
      <c r="U53" s="1">
        <v>41.08038268</v>
      </c>
      <c r="V53" s="1">
        <v>0</v>
      </c>
      <c r="W53" s="1">
        <v>0</v>
      </c>
      <c r="X53" t="s">
        <v>50</v>
      </c>
      <c r="Y53" t="s">
        <v>50</v>
      </c>
      <c r="Z53" t="s">
        <v>50</v>
      </c>
      <c r="AA53" t="s">
        <v>50</v>
      </c>
      <c r="AB53" s="1">
        <v>10.9</v>
      </c>
      <c r="AC53" t="s">
        <v>50</v>
      </c>
      <c r="AD53" t="s">
        <v>50</v>
      </c>
      <c r="AE53" t="s">
        <v>50</v>
      </c>
      <c r="AF53" t="s">
        <v>50</v>
      </c>
      <c r="AG53" s="1">
        <v>0.17849999999999999</v>
      </c>
      <c r="AH53" s="1">
        <v>0.92</v>
      </c>
      <c r="AI53" s="1">
        <v>7.1800000000000003E-2</v>
      </c>
      <c r="AJ53" t="s">
        <v>50</v>
      </c>
      <c r="AK53" t="s">
        <v>50</v>
      </c>
      <c r="AL53" t="s">
        <v>50</v>
      </c>
      <c r="AM53" t="s">
        <v>50</v>
      </c>
      <c r="AN53" s="1">
        <v>4.26</v>
      </c>
      <c r="AO53" t="s">
        <v>50</v>
      </c>
      <c r="AP53" t="s">
        <v>129</v>
      </c>
      <c r="AQ53" s="1">
        <v>1945</v>
      </c>
      <c r="AR53" t="s">
        <v>70</v>
      </c>
    </row>
    <row r="54" spans="1:44">
      <c r="A54" s="1">
        <v>107089</v>
      </c>
      <c r="B54" s="1">
        <v>32404</v>
      </c>
      <c r="C54" s="1">
        <v>31737</v>
      </c>
      <c r="D54" t="s">
        <v>247</v>
      </c>
      <c r="E54" t="s">
        <v>127</v>
      </c>
      <c r="F54" t="str">
        <f>VLOOKUP(E54,Tabela2[#All],2,FALSE)</f>
        <v>Válvula Nível 3</v>
      </c>
      <c r="G54" t="s">
        <v>128</v>
      </c>
      <c r="H54" s="1">
        <v>2.2050000000000001</v>
      </c>
      <c r="I54" s="1">
        <v>2.2050000000000001</v>
      </c>
      <c r="J54" t="s">
        <v>65</v>
      </c>
      <c r="K54" s="1">
        <v>70.685587999999996</v>
      </c>
      <c r="L54" s="1">
        <v>3.4333</v>
      </c>
      <c r="M54" s="1">
        <v>14.28</v>
      </c>
      <c r="N54" s="1">
        <v>36446</v>
      </c>
      <c r="O54" t="s">
        <v>119</v>
      </c>
      <c r="P54" t="s">
        <v>117</v>
      </c>
      <c r="Q54" t="s">
        <v>68</v>
      </c>
      <c r="R54" s="1">
        <v>0.25</v>
      </c>
      <c r="S54" t="s">
        <v>50</v>
      </c>
      <c r="T54" s="1">
        <v>78.042667679999994</v>
      </c>
      <c r="U54" s="1">
        <v>41.08038268</v>
      </c>
      <c r="V54" s="1">
        <v>0</v>
      </c>
      <c r="W54" s="1">
        <v>0</v>
      </c>
      <c r="X54" t="s">
        <v>50</v>
      </c>
      <c r="Y54" t="s">
        <v>50</v>
      </c>
      <c r="Z54" t="s">
        <v>50</v>
      </c>
      <c r="AA54" t="s">
        <v>50</v>
      </c>
      <c r="AB54" s="1">
        <v>10.4</v>
      </c>
      <c r="AC54" t="s">
        <v>50</v>
      </c>
      <c r="AD54" t="s">
        <v>50</v>
      </c>
      <c r="AE54" t="s">
        <v>50</v>
      </c>
      <c r="AF54" t="s">
        <v>50</v>
      </c>
      <c r="AG54" s="1">
        <v>0.17849999999999999</v>
      </c>
      <c r="AH54" s="1">
        <v>0.92</v>
      </c>
      <c r="AI54" s="1">
        <v>7.1800000000000003E-2</v>
      </c>
      <c r="AJ54" t="s">
        <v>50</v>
      </c>
      <c r="AK54" t="s">
        <v>50</v>
      </c>
      <c r="AL54" t="s">
        <v>50</v>
      </c>
      <c r="AM54" t="s">
        <v>50</v>
      </c>
      <c r="AN54" s="1">
        <v>4.26</v>
      </c>
      <c r="AO54" t="s">
        <v>50</v>
      </c>
      <c r="AP54" t="s">
        <v>129</v>
      </c>
      <c r="AQ54" s="1">
        <v>1945</v>
      </c>
      <c r="AR54" t="s">
        <v>70</v>
      </c>
    </row>
    <row r="55" spans="1:44">
      <c r="A55" s="1">
        <v>41634</v>
      </c>
      <c r="B55" s="1">
        <v>32404</v>
      </c>
      <c r="C55" s="1">
        <v>31737</v>
      </c>
      <c r="D55" t="s">
        <v>248</v>
      </c>
      <c r="E55" t="s">
        <v>127</v>
      </c>
      <c r="F55" t="str">
        <f>VLOOKUP(E55,Tabela2[#All],2,FALSE)</f>
        <v>Válvula Nível 3</v>
      </c>
      <c r="G55" t="s">
        <v>128</v>
      </c>
      <c r="H55" s="1">
        <v>2.23</v>
      </c>
      <c r="I55" s="1">
        <v>2.23</v>
      </c>
      <c r="J55" t="s">
        <v>65</v>
      </c>
      <c r="K55" s="1">
        <v>70.685587999999996</v>
      </c>
      <c r="L55" s="1">
        <v>3.4333</v>
      </c>
      <c r="M55" s="1">
        <v>14.28</v>
      </c>
      <c r="N55" s="1">
        <v>36446</v>
      </c>
      <c r="O55" t="s">
        <v>119</v>
      </c>
      <c r="P55" t="s">
        <v>117</v>
      </c>
      <c r="Q55" t="s">
        <v>68</v>
      </c>
      <c r="R55" s="1">
        <v>0.25</v>
      </c>
      <c r="S55" t="s">
        <v>50</v>
      </c>
      <c r="T55" s="1">
        <v>69.189467680000007</v>
      </c>
      <c r="U55" s="1">
        <v>41.08038268</v>
      </c>
      <c r="V55" s="1">
        <v>0</v>
      </c>
      <c r="W55" s="1">
        <v>0</v>
      </c>
      <c r="X55" t="s">
        <v>50</v>
      </c>
      <c r="Y55" t="s">
        <v>50</v>
      </c>
      <c r="Z55" t="s">
        <v>50</v>
      </c>
      <c r="AA55" t="s">
        <v>50</v>
      </c>
      <c r="AB55" s="1">
        <v>9.1999999999999993</v>
      </c>
      <c r="AC55" t="s">
        <v>50</v>
      </c>
      <c r="AD55" t="s">
        <v>50</v>
      </c>
      <c r="AE55" t="s">
        <v>50</v>
      </c>
      <c r="AF55" t="s">
        <v>50</v>
      </c>
      <c r="AG55" s="1">
        <v>0.17849999999999999</v>
      </c>
      <c r="AH55" s="1">
        <v>0.92</v>
      </c>
      <c r="AI55" s="1">
        <v>7.1800000000000003E-2</v>
      </c>
      <c r="AJ55" t="s">
        <v>50</v>
      </c>
      <c r="AK55" t="s">
        <v>50</v>
      </c>
      <c r="AL55" t="s">
        <v>50</v>
      </c>
      <c r="AM55" t="s">
        <v>50</v>
      </c>
      <c r="AN55" s="1">
        <v>4.26</v>
      </c>
      <c r="AO55" t="s">
        <v>50</v>
      </c>
      <c r="AP55" t="s">
        <v>129</v>
      </c>
      <c r="AQ55" s="1">
        <v>1945</v>
      </c>
      <c r="AR55" t="s">
        <v>70</v>
      </c>
    </row>
    <row r="56" spans="1:44">
      <c r="A56" s="1">
        <v>36509</v>
      </c>
      <c r="B56" s="1">
        <v>41255</v>
      </c>
      <c r="C56" s="1">
        <v>33881</v>
      </c>
      <c r="D56" t="s">
        <v>249</v>
      </c>
      <c r="E56" t="s">
        <v>250</v>
      </c>
      <c r="F56" t="str">
        <f>VLOOKUP(E56,Tabela2[#All],2,FALSE)</f>
        <v>CORPO DE VÁLVULA COM MACHO</v>
      </c>
      <c r="G56" t="s">
        <v>251</v>
      </c>
      <c r="H56" s="1">
        <v>2.4</v>
      </c>
      <c r="I56" s="1">
        <v>2.4</v>
      </c>
      <c r="J56" t="s">
        <v>46</v>
      </c>
      <c r="K56" s="1">
        <v>55.555556000000003</v>
      </c>
      <c r="L56" s="1">
        <v>2</v>
      </c>
      <c r="M56" s="1">
        <v>8.64</v>
      </c>
      <c r="N56" s="1">
        <v>32958</v>
      </c>
      <c r="O56" t="s">
        <v>81</v>
      </c>
      <c r="P56" t="s">
        <v>252</v>
      </c>
      <c r="Q56" t="s">
        <v>49</v>
      </c>
      <c r="R56" s="1">
        <v>0.42</v>
      </c>
      <c r="S56" t="s">
        <v>50</v>
      </c>
      <c r="T56" s="1">
        <v>24.638487000000001</v>
      </c>
      <c r="U56" s="1">
        <v>24.076807580000001</v>
      </c>
      <c r="V56" s="1">
        <v>3.3248250000000001</v>
      </c>
      <c r="W56" s="1">
        <v>0</v>
      </c>
      <c r="X56" t="s">
        <v>50</v>
      </c>
      <c r="Y56" s="1">
        <v>5.7099999999999998E-2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s="1">
        <v>0.24990000000000001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250</v>
      </c>
      <c r="AQ56" s="1">
        <v>1637</v>
      </c>
      <c r="AR56" t="s">
        <v>51</v>
      </c>
    </row>
    <row r="57" spans="1:44">
      <c r="A57" s="1">
        <v>31384</v>
      </c>
      <c r="B57" s="1">
        <v>38593</v>
      </c>
      <c r="C57" s="1">
        <v>30718</v>
      </c>
      <c r="D57" t="s">
        <v>253</v>
      </c>
      <c r="E57" t="s">
        <v>254</v>
      </c>
      <c r="F57" t="str">
        <f>VLOOKUP(E57,Tabela2[#All],2,FALSE)</f>
        <v>SINO</v>
      </c>
      <c r="G57" t="s">
        <v>255</v>
      </c>
      <c r="H57" s="1">
        <v>1.8</v>
      </c>
      <c r="I57" s="1">
        <v>1.8</v>
      </c>
      <c r="J57" t="s">
        <v>46</v>
      </c>
      <c r="K57" s="1">
        <v>52.605943000000003</v>
      </c>
      <c r="L57" s="1">
        <v>3</v>
      </c>
      <c r="M57" s="1">
        <v>10.265000000000001</v>
      </c>
      <c r="N57" s="1">
        <v>32958</v>
      </c>
      <c r="O57" t="s">
        <v>81</v>
      </c>
      <c r="P57" t="s">
        <v>256</v>
      </c>
      <c r="Q57" t="s">
        <v>49</v>
      </c>
      <c r="R57" t="s">
        <v>50</v>
      </c>
      <c r="S57" s="1">
        <v>2.72</v>
      </c>
      <c r="T57" s="1">
        <v>26.720027630000001</v>
      </c>
      <c r="U57" s="1">
        <v>18.07980568</v>
      </c>
      <c r="V57" s="1">
        <v>5.0469333333333335</v>
      </c>
      <c r="W57" s="1">
        <v>2.132892</v>
      </c>
      <c r="X57" t="s">
        <v>50</v>
      </c>
      <c r="Y57" s="1">
        <v>0.14280000000000001</v>
      </c>
      <c r="Z57" s="1">
        <v>0.2056</v>
      </c>
      <c r="AA57" t="s">
        <v>50</v>
      </c>
      <c r="AB57" t="s">
        <v>50</v>
      </c>
      <c r="AC57" s="1">
        <v>1.1168</v>
      </c>
      <c r="AD57" t="s">
        <v>50</v>
      </c>
      <c r="AE57" t="s">
        <v>50</v>
      </c>
      <c r="AF57" s="1">
        <v>0.25999800000000001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254</v>
      </c>
      <c r="AQ57" s="1">
        <v>1640</v>
      </c>
      <c r="AR57" t="s">
        <v>51</v>
      </c>
    </row>
    <row r="58" spans="1:44">
      <c r="A58" s="1">
        <v>32611</v>
      </c>
      <c r="B58" s="1">
        <v>34286</v>
      </c>
      <c r="C58" s="1">
        <v>31949</v>
      </c>
      <c r="D58" t="s">
        <v>257</v>
      </c>
      <c r="E58" t="s">
        <v>258</v>
      </c>
      <c r="F58" t="str">
        <f>VLOOKUP(E58,Tabela2[#All],2,FALSE)</f>
        <v>RODINHA</v>
      </c>
      <c r="G58" t="s">
        <v>259</v>
      </c>
      <c r="H58" s="1">
        <v>0.59799999999999998</v>
      </c>
      <c r="I58" s="1">
        <v>0.59799999999999998</v>
      </c>
      <c r="J58" t="s">
        <v>46</v>
      </c>
      <c r="K58" s="1">
        <v>64.228368000000003</v>
      </c>
      <c r="L58" s="1">
        <v>12</v>
      </c>
      <c r="M58" s="1">
        <v>11.21</v>
      </c>
      <c r="N58" s="1">
        <v>32958</v>
      </c>
      <c r="O58" t="s">
        <v>81</v>
      </c>
      <c r="P58" t="s">
        <v>82</v>
      </c>
      <c r="Q58" t="s">
        <v>49</v>
      </c>
      <c r="R58" t="s">
        <v>50</v>
      </c>
      <c r="S58" t="s">
        <v>50</v>
      </c>
      <c r="T58" s="1">
        <v>6.8898301200000001</v>
      </c>
      <c r="U58" s="1">
        <v>3.3165471399999999</v>
      </c>
      <c r="V58" s="1">
        <v>1.5740499999999999</v>
      </c>
      <c r="W58" s="1">
        <v>0.70859411999999999</v>
      </c>
      <c r="X58" t="s">
        <v>50</v>
      </c>
      <c r="Y58" s="1">
        <v>3.0700000000000002E-2</v>
      </c>
      <c r="Z58" t="s">
        <v>50</v>
      </c>
      <c r="AA58" s="1">
        <v>0.57140000000000002</v>
      </c>
      <c r="AB58" t="s">
        <v>50</v>
      </c>
      <c r="AC58" s="1">
        <v>0.17130000000000001</v>
      </c>
      <c r="AD58" t="s">
        <v>50</v>
      </c>
      <c r="AE58" s="1">
        <v>5.5500000000000001E-2</v>
      </c>
      <c r="AF58" s="1">
        <v>5.6415E-2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260</v>
      </c>
      <c r="AQ58" s="1">
        <v>1683</v>
      </c>
      <c r="AR58" t="s">
        <v>51</v>
      </c>
    </row>
    <row r="59" spans="1:44">
      <c r="A59" s="1">
        <v>115127</v>
      </c>
      <c r="B59" s="1">
        <v>116008</v>
      </c>
      <c r="C59" s="1">
        <v>98430</v>
      </c>
      <c r="D59" t="s">
        <v>261</v>
      </c>
      <c r="E59" t="s">
        <v>262</v>
      </c>
      <c r="F59" t="str">
        <f>VLOOKUP(E59,Tabela2[#All],2,FALSE)</f>
        <v>INSERTO/ FOCINHO DE PORCO</v>
      </c>
      <c r="G59" t="s">
        <v>263</v>
      </c>
      <c r="H59" s="1">
        <v>0.23</v>
      </c>
      <c r="I59" s="1">
        <v>0.23</v>
      </c>
      <c r="J59" t="s">
        <v>46</v>
      </c>
      <c r="K59" s="1">
        <v>62.5</v>
      </c>
      <c r="L59" s="1">
        <v>28</v>
      </c>
      <c r="M59" s="1">
        <v>11.2</v>
      </c>
      <c r="N59" s="1">
        <v>32958</v>
      </c>
      <c r="O59" t="s">
        <v>81</v>
      </c>
      <c r="P59" t="s">
        <v>82</v>
      </c>
      <c r="Q59" t="s">
        <v>49</v>
      </c>
      <c r="R59" t="s">
        <v>50</v>
      </c>
      <c r="S59" t="s">
        <v>50</v>
      </c>
      <c r="T59" s="1">
        <v>4.7402755399999998</v>
      </c>
      <c r="U59" s="1">
        <v>1.41666648</v>
      </c>
      <c r="V59" s="1">
        <v>0.66237500000000005</v>
      </c>
      <c r="W59" s="1">
        <v>0.27253620000000001</v>
      </c>
      <c r="X59" t="s">
        <v>50</v>
      </c>
      <c r="Y59" s="1">
        <v>3.1899999999999998E-2</v>
      </c>
      <c r="Z59" t="s">
        <v>50</v>
      </c>
      <c r="AA59" s="1">
        <v>0.75</v>
      </c>
      <c r="AB59" s="1">
        <v>0.35289999999999999</v>
      </c>
      <c r="AC59" s="1">
        <v>0.15</v>
      </c>
      <c r="AD59" t="s">
        <v>50</v>
      </c>
      <c r="AE59" s="1">
        <v>0.10340000000000001</v>
      </c>
      <c r="AF59" s="1">
        <v>2.58E-2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264</v>
      </c>
      <c r="AQ59" s="1">
        <v>12967</v>
      </c>
      <c r="AR59" t="s">
        <v>51</v>
      </c>
    </row>
    <row r="60" spans="1:44">
      <c r="A60" s="1">
        <v>117793</v>
      </c>
      <c r="B60" s="1">
        <v>117792</v>
      </c>
      <c r="C60" s="1">
        <v>100173</v>
      </c>
      <c r="D60" t="s">
        <v>265</v>
      </c>
      <c r="E60" t="s">
        <v>266</v>
      </c>
      <c r="F60" t="str">
        <f>VLOOKUP(E60,Tabela2[#All],2,FALSE)</f>
        <v xml:space="preserve">INSERTO </v>
      </c>
      <c r="G60" t="s">
        <v>267</v>
      </c>
      <c r="H60" s="1">
        <v>0.56000000000000005</v>
      </c>
      <c r="I60" s="1">
        <v>0.56000000000000005</v>
      </c>
      <c r="J60" t="s">
        <v>46</v>
      </c>
      <c r="K60" s="1">
        <v>64.124110999999999</v>
      </c>
      <c r="L60" s="1">
        <v>16</v>
      </c>
      <c r="M60" s="1">
        <v>15.47</v>
      </c>
      <c r="N60" s="1">
        <v>32958</v>
      </c>
      <c r="O60" t="s">
        <v>81</v>
      </c>
      <c r="P60" t="s">
        <v>82</v>
      </c>
      <c r="Q60" t="s">
        <v>49</v>
      </c>
      <c r="R60" t="s">
        <v>50</v>
      </c>
      <c r="S60" t="s">
        <v>50</v>
      </c>
      <c r="T60" s="1">
        <v>9.1387148600000003</v>
      </c>
      <c r="U60" s="1">
        <v>3.2155009899999998</v>
      </c>
      <c r="V60" s="1">
        <v>1.62746875</v>
      </c>
      <c r="W60" s="1">
        <v>0.6635664</v>
      </c>
      <c r="X60" t="s">
        <v>50</v>
      </c>
      <c r="Y60" s="1">
        <v>8.4000000000000005E-2</v>
      </c>
      <c r="Z60" t="s">
        <v>50</v>
      </c>
      <c r="AA60" s="1">
        <v>0.92300000000000004</v>
      </c>
      <c r="AB60" s="1">
        <v>0.63149999999999995</v>
      </c>
      <c r="AC60" s="1">
        <v>0.21808</v>
      </c>
      <c r="AD60" t="s">
        <v>50</v>
      </c>
      <c r="AE60" s="1">
        <v>0.12</v>
      </c>
      <c r="AF60" s="1">
        <v>4.6800000000000001E-2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268</v>
      </c>
      <c r="AQ60" s="1">
        <v>13447</v>
      </c>
      <c r="AR60" t="s">
        <v>51</v>
      </c>
    </row>
    <row r="61" spans="1:44">
      <c r="A61" s="1">
        <v>117753</v>
      </c>
      <c r="B61" s="1">
        <v>117752</v>
      </c>
      <c r="C61" s="1">
        <v>100133</v>
      </c>
      <c r="D61" t="s">
        <v>269</v>
      </c>
      <c r="E61" t="s">
        <v>270</v>
      </c>
      <c r="F61" t="str">
        <f>VLOOKUP(E61,Tabela2[#All],2,FALSE)</f>
        <v>RODINHA</v>
      </c>
      <c r="G61" t="s">
        <v>271</v>
      </c>
      <c r="H61" s="1">
        <v>0.56000000000000005</v>
      </c>
      <c r="I61" s="1">
        <v>0.56000000000000005</v>
      </c>
      <c r="J61" t="s">
        <v>46</v>
      </c>
      <c r="K61" s="1">
        <v>55.391599999999997</v>
      </c>
      <c r="L61" s="1">
        <v>8</v>
      </c>
      <c r="M61" s="1">
        <v>8.81</v>
      </c>
      <c r="N61" s="1">
        <v>32958</v>
      </c>
      <c r="O61" t="s">
        <v>81</v>
      </c>
      <c r="P61" t="s">
        <v>82</v>
      </c>
      <c r="Q61" t="s">
        <v>49</v>
      </c>
      <c r="R61" t="s">
        <v>50</v>
      </c>
      <c r="S61" t="s">
        <v>50</v>
      </c>
      <c r="T61" s="1">
        <v>8.5247352200000002</v>
      </c>
      <c r="U61" s="1">
        <v>4.1167855800000002</v>
      </c>
      <c r="V61" s="1">
        <v>1.6920875</v>
      </c>
      <c r="W61" s="1">
        <v>0.6635664</v>
      </c>
      <c r="X61" t="s">
        <v>50</v>
      </c>
      <c r="Y61" s="1">
        <v>2.9340000000000001E-2</v>
      </c>
      <c r="Z61" t="s">
        <v>50</v>
      </c>
      <c r="AA61" s="1">
        <v>0.61850000000000005</v>
      </c>
      <c r="AB61" t="s">
        <v>50</v>
      </c>
      <c r="AC61" s="1">
        <v>0.17130000000000001</v>
      </c>
      <c r="AD61" t="s">
        <v>50</v>
      </c>
      <c r="AE61" s="1">
        <v>5.5E-2</v>
      </c>
      <c r="AF61" s="1">
        <v>8.6400000000000005E-2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272</v>
      </c>
      <c r="AQ61" s="1">
        <v>13427</v>
      </c>
      <c r="AR61" t="s">
        <v>51</v>
      </c>
    </row>
    <row r="62" spans="1:44">
      <c r="A62" s="1">
        <v>115408</v>
      </c>
      <c r="B62" s="1">
        <v>115387</v>
      </c>
      <c r="C62" s="1">
        <v>97830</v>
      </c>
      <c r="D62" t="s">
        <v>273</v>
      </c>
      <c r="E62" t="s">
        <v>274</v>
      </c>
      <c r="F62" t="str">
        <f>VLOOKUP(E62,Tabela2[#All],2,FALSE)</f>
        <v>RODINHA</v>
      </c>
      <c r="G62" t="s">
        <v>275</v>
      </c>
      <c r="H62" s="1">
        <v>0.79</v>
      </c>
      <c r="I62" s="1">
        <v>0.79</v>
      </c>
      <c r="J62" t="s">
        <v>46</v>
      </c>
      <c r="K62" s="1">
        <v>61.710037</v>
      </c>
      <c r="L62" s="1">
        <v>8</v>
      </c>
      <c r="M62" s="1">
        <v>10.76</v>
      </c>
      <c r="N62" s="1">
        <v>32958</v>
      </c>
      <c r="O62" t="s">
        <v>81</v>
      </c>
      <c r="P62" t="s">
        <v>82</v>
      </c>
      <c r="Q62" t="s">
        <v>49</v>
      </c>
      <c r="R62" t="s">
        <v>50</v>
      </c>
      <c r="S62" t="s">
        <v>50</v>
      </c>
      <c r="T62" s="1">
        <v>9.1975516099999997</v>
      </c>
      <c r="U62" s="1">
        <v>5.0720191999999997</v>
      </c>
      <c r="V62" s="1">
        <v>2.2093875000000001</v>
      </c>
      <c r="W62" s="1">
        <v>0.93610260000000001</v>
      </c>
      <c r="X62" t="s">
        <v>50</v>
      </c>
      <c r="Y62" s="1">
        <v>4.0309999999999999E-2</v>
      </c>
      <c r="Z62" t="s">
        <v>50</v>
      </c>
      <c r="AA62" s="1">
        <v>0.61850000000000005</v>
      </c>
      <c r="AB62" t="s">
        <v>50</v>
      </c>
      <c r="AC62" s="1">
        <v>0.18459999999999999</v>
      </c>
      <c r="AD62" t="s">
        <v>50</v>
      </c>
      <c r="AE62" s="1">
        <v>0.111</v>
      </c>
      <c r="AF62" s="1">
        <v>8.6400000000000005E-2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276</v>
      </c>
      <c r="AQ62" s="1">
        <v>12887</v>
      </c>
      <c r="AR62" t="s">
        <v>51</v>
      </c>
    </row>
    <row r="63" spans="1:44">
      <c r="A63" s="1">
        <v>115409</v>
      </c>
      <c r="B63" s="1">
        <v>115387</v>
      </c>
      <c r="C63" s="1">
        <v>97830</v>
      </c>
      <c r="D63" t="s">
        <v>277</v>
      </c>
      <c r="E63" t="s">
        <v>274</v>
      </c>
      <c r="F63" t="str">
        <f>VLOOKUP(E63,Tabela2[#All],2,FALSE)</f>
        <v>RODINHA</v>
      </c>
      <c r="G63" t="s">
        <v>275</v>
      </c>
      <c r="H63" s="1">
        <v>0.79</v>
      </c>
      <c r="I63" s="1">
        <v>0.79</v>
      </c>
      <c r="J63" t="s">
        <v>46</v>
      </c>
      <c r="K63" s="1">
        <v>61.710037</v>
      </c>
      <c r="L63" s="1">
        <v>8</v>
      </c>
      <c r="M63" s="1">
        <v>10.76</v>
      </c>
      <c r="N63" s="1">
        <v>32958</v>
      </c>
      <c r="O63" t="s">
        <v>81</v>
      </c>
      <c r="P63" t="s">
        <v>82</v>
      </c>
      <c r="Q63" t="s">
        <v>49</v>
      </c>
      <c r="R63" t="s">
        <v>50</v>
      </c>
      <c r="S63" t="s">
        <v>50</v>
      </c>
      <c r="T63" s="1">
        <v>9.1974898100000004</v>
      </c>
      <c r="U63" s="1">
        <v>5.0720191999999997</v>
      </c>
      <c r="V63" s="1">
        <v>2.2093875000000001</v>
      </c>
      <c r="W63" s="1">
        <v>0.93610260000000001</v>
      </c>
      <c r="X63" t="s">
        <v>50</v>
      </c>
      <c r="Y63" s="1">
        <v>4.0289999999999999E-2</v>
      </c>
      <c r="Z63" t="s">
        <v>50</v>
      </c>
      <c r="AA63" s="1">
        <v>0.61850000000000005</v>
      </c>
      <c r="AB63" t="s">
        <v>50</v>
      </c>
      <c r="AC63" s="1">
        <v>0.18459999999999999</v>
      </c>
      <c r="AD63" t="s">
        <v>50</v>
      </c>
      <c r="AE63" s="1">
        <v>0.111</v>
      </c>
      <c r="AF63" s="1">
        <v>8.6400000000000005E-2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276</v>
      </c>
      <c r="AQ63" s="1">
        <v>12887</v>
      </c>
      <c r="AR63" t="s">
        <v>51</v>
      </c>
    </row>
    <row r="64" spans="1:44">
      <c r="A64" s="1">
        <v>119651</v>
      </c>
      <c r="B64" s="1">
        <v>118213</v>
      </c>
      <c r="C64" s="1">
        <v>100574</v>
      </c>
      <c r="D64" t="s">
        <v>278</v>
      </c>
      <c r="E64" t="s">
        <v>279</v>
      </c>
      <c r="F64" t="str">
        <f>VLOOKUP(E64,Tabela2[#All],2,FALSE)</f>
        <v>RODINHA</v>
      </c>
      <c r="G64" t="s">
        <v>280</v>
      </c>
      <c r="H64" s="1">
        <v>0.503</v>
      </c>
      <c r="I64" s="1">
        <v>0.503</v>
      </c>
      <c r="J64" t="s">
        <v>46</v>
      </c>
      <c r="K64" s="1">
        <v>58.638742999999998</v>
      </c>
      <c r="L64" s="1">
        <v>10</v>
      </c>
      <c r="M64" s="1">
        <v>9.5500000000000007</v>
      </c>
      <c r="N64" s="1">
        <v>32958</v>
      </c>
      <c r="O64" t="s">
        <v>81</v>
      </c>
      <c r="P64" t="s">
        <v>82</v>
      </c>
      <c r="Q64" t="s">
        <v>49</v>
      </c>
      <c r="R64" t="s">
        <v>50</v>
      </c>
      <c r="S64" t="s">
        <v>50</v>
      </c>
      <c r="T64" s="1">
        <v>6.9272608199999999</v>
      </c>
      <c r="U64" s="1">
        <v>3.4740440600000002</v>
      </c>
      <c r="V64" s="1">
        <v>1.5194700000000001</v>
      </c>
      <c r="W64" s="1">
        <v>0.59602482000000001</v>
      </c>
      <c r="X64" t="s">
        <v>50</v>
      </c>
      <c r="Y64" s="1">
        <v>3.0700000000000002E-2</v>
      </c>
      <c r="Z64" t="s">
        <v>50</v>
      </c>
      <c r="AA64" s="1">
        <v>0.57140000000000002</v>
      </c>
      <c r="AB64" t="s">
        <v>50</v>
      </c>
      <c r="AC64" s="1">
        <v>0.17130000000000001</v>
      </c>
      <c r="AD64" t="s">
        <v>50</v>
      </c>
      <c r="AE64" s="1">
        <v>5.5500000000000001E-2</v>
      </c>
      <c r="AF64" s="1">
        <v>6.93E-2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281</v>
      </c>
      <c r="AQ64" s="1">
        <v>13587</v>
      </c>
      <c r="AR64" t="s">
        <v>51</v>
      </c>
    </row>
    <row r="65" spans="1:44">
      <c r="A65" s="1">
        <v>117651</v>
      </c>
      <c r="B65" s="1">
        <v>117653</v>
      </c>
      <c r="C65" s="1">
        <v>100034</v>
      </c>
      <c r="D65" t="s">
        <v>282</v>
      </c>
      <c r="E65" t="s">
        <v>283</v>
      </c>
      <c r="F65" t="str">
        <f>VLOOKUP(E65,Tabela2[#All],2,FALSE)</f>
        <v>RODINHA</v>
      </c>
      <c r="G65" t="s">
        <v>284</v>
      </c>
      <c r="H65" s="1">
        <v>0.79</v>
      </c>
      <c r="I65" s="1">
        <v>0.79</v>
      </c>
      <c r="J65" t="s">
        <v>46</v>
      </c>
      <c r="K65" s="1">
        <v>62.467644999999997</v>
      </c>
      <c r="L65" s="1">
        <v>8</v>
      </c>
      <c r="M65" s="1">
        <v>11.59</v>
      </c>
      <c r="N65" s="1">
        <v>32958</v>
      </c>
      <c r="O65" t="s">
        <v>81</v>
      </c>
      <c r="P65" t="s">
        <v>82</v>
      </c>
      <c r="Q65" t="s">
        <v>49</v>
      </c>
      <c r="R65" t="s">
        <v>50</v>
      </c>
      <c r="S65" t="s">
        <v>50</v>
      </c>
      <c r="T65" s="1">
        <v>9.2931770599999997</v>
      </c>
      <c r="U65" s="1">
        <v>5.1893221399999998</v>
      </c>
      <c r="V65" s="1">
        <v>2.39825</v>
      </c>
      <c r="W65" s="1">
        <v>0.93610260000000001</v>
      </c>
      <c r="X65" t="s">
        <v>50</v>
      </c>
      <c r="Y65" s="1">
        <v>4.0980000000000003E-2</v>
      </c>
      <c r="Z65" t="s">
        <v>50</v>
      </c>
      <c r="AA65" s="1">
        <v>0.61850000000000005</v>
      </c>
      <c r="AB65" t="s">
        <v>50</v>
      </c>
      <c r="AC65" s="1">
        <v>0.17119999999999999</v>
      </c>
      <c r="AD65" t="s">
        <v>50</v>
      </c>
      <c r="AE65" s="1">
        <v>5.5E-2</v>
      </c>
      <c r="AF65" s="1">
        <v>8.6400000000000005E-2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285</v>
      </c>
      <c r="AQ65" s="1">
        <v>13387</v>
      </c>
      <c r="AR65" t="s">
        <v>51</v>
      </c>
    </row>
    <row r="66" spans="1:44">
      <c r="A66" s="1">
        <v>116571</v>
      </c>
      <c r="B66" s="1">
        <v>116568</v>
      </c>
      <c r="C66" s="1">
        <v>98970</v>
      </c>
      <c r="D66" t="s">
        <v>286</v>
      </c>
      <c r="E66" t="s">
        <v>287</v>
      </c>
      <c r="F66" t="str">
        <f>VLOOKUP(E66,Tabela2[#All],2,FALSE)</f>
        <v>INSERTO/ FOCINHO DE PORCO</v>
      </c>
      <c r="G66" t="s">
        <v>288</v>
      </c>
      <c r="H66" s="1">
        <v>0.27</v>
      </c>
      <c r="I66" s="1">
        <v>0.27</v>
      </c>
      <c r="J66" t="s">
        <v>46</v>
      </c>
      <c r="K66" s="1">
        <v>64.209664000000004</v>
      </c>
      <c r="L66" s="1">
        <v>28</v>
      </c>
      <c r="M66" s="1">
        <v>12.21</v>
      </c>
      <c r="N66" s="1">
        <v>32958</v>
      </c>
      <c r="O66" t="s">
        <v>81</v>
      </c>
      <c r="P66" t="s">
        <v>289</v>
      </c>
      <c r="Q66" t="s">
        <v>49</v>
      </c>
      <c r="R66" t="s">
        <v>50</v>
      </c>
      <c r="S66" t="s">
        <v>50</v>
      </c>
      <c r="T66" s="1">
        <v>4.4054627999999996</v>
      </c>
      <c r="U66" s="1">
        <v>1.80702937</v>
      </c>
      <c r="V66" s="1">
        <v>0.73463214285714284</v>
      </c>
      <c r="W66" s="1">
        <v>0.31993379999999999</v>
      </c>
      <c r="X66" t="s">
        <v>50</v>
      </c>
      <c r="Y66" s="1">
        <v>3.1899999999999998E-2</v>
      </c>
      <c r="Z66" t="s">
        <v>50</v>
      </c>
      <c r="AA66" t="s">
        <v>50</v>
      </c>
      <c r="AB66" s="1">
        <v>0.62560000000000004</v>
      </c>
      <c r="AC66" s="1">
        <v>0.15</v>
      </c>
      <c r="AD66" t="s">
        <v>50</v>
      </c>
      <c r="AE66" s="1">
        <v>0.10340000000000001</v>
      </c>
      <c r="AF66" s="1">
        <v>2.5232999999999998E-2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290</v>
      </c>
      <c r="AQ66" s="1">
        <v>13107</v>
      </c>
      <c r="AR66" t="s">
        <v>51</v>
      </c>
    </row>
    <row r="67" spans="1:44">
      <c r="A67" s="1">
        <v>31512</v>
      </c>
      <c r="B67" s="1">
        <v>35761</v>
      </c>
      <c r="C67" s="1">
        <v>30850</v>
      </c>
      <c r="D67" t="s">
        <v>291</v>
      </c>
      <c r="E67" t="s">
        <v>292</v>
      </c>
      <c r="F67" t="str">
        <f>VLOOKUP(E67,Tabela2[#All],2,FALSE)</f>
        <v>BASE PEDESTAL</v>
      </c>
      <c r="G67" t="s">
        <v>293</v>
      </c>
      <c r="H67" s="1">
        <v>5.16</v>
      </c>
      <c r="I67" s="1">
        <v>5.16</v>
      </c>
      <c r="J67" t="s">
        <v>46</v>
      </c>
      <c r="K67" s="1">
        <v>47.884940999999998</v>
      </c>
      <c r="L67" s="1">
        <v>1</v>
      </c>
      <c r="M67" s="1">
        <v>11.82</v>
      </c>
      <c r="N67" s="1">
        <v>32958</v>
      </c>
      <c r="O67" t="s">
        <v>81</v>
      </c>
      <c r="P67" t="s">
        <v>289</v>
      </c>
      <c r="Q67" t="s">
        <v>49</v>
      </c>
      <c r="R67" t="s">
        <v>50</v>
      </c>
      <c r="S67" t="s">
        <v>50</v>
      </c>
      <c r="T67" t="s">
        <v>50</v>
      </c>
      <c r="U67" s="1">
        <v>56.751952009999997</v>
      </c>
      <c r="V67" s="1">
        <v>0</v>
      </c>
      <c r="W67" s="1">
        <v>6.1142903999999998</v>
      </c>
      <c r="X67" t="s">
        <v>50</v>
      </c>
      <c r="Y67" s="1">
        <v>0.75</v>
      </c>
      <c r="Z67" s="1">
        <v>0.4138</v>
      </c>
      <c r="AA67" t="s">
        <v>50</v>
      </c>
      <c r="AB67" t="s">
        <v>50</v>
      </c>
      <c r="AC67" s="1">
        <v>2</v>
      </c>
      <c r="AD67" t="s">
        <v>50</v>
      </c>
      <c r="AE67" s="1">
        <v>0.4</v>
      </c>
      <c r="AF67" s="1">
        <v>0.67698000000000003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294</v>
      </c>
      <c r="AQ67" s="1">
        <v>6207</v>
      </c>
      <c r="AR67" t="s">
        <v>51</v>
      </c>
    </row>
    <row r="68" spans="1:44">
      <c r="A68" s="1">
        <v>121597</v>
      </c>
      <c r="B68" s="1">
        <v>65619</v>
      </c>
      <c r="C68" s="1">
        <v>59569</v>
      </c>
      <c r="D68" t="s">
        <v>295</v>
      </c>
      <c r="E68" t="s">
        <v>296</v>
      </c>
      <c r="F68" t="str">
        <f>VLOOKUP(E68,Tabela2[#All],2,FALSE)</f>
        <v>INSERTO/ FOCINHO DE PORCO</v>
      </c>
      <c r="G68" t="s">
        <v>297</v>
      </c>
      <c r="H68" s="1">
        <v>0.27</v>
      </c>
      <c r="I68" s="1">
        <v>0.27</v>
      </c>
      <c r="J68" t="s">
        <v>46</v>
      </c>
      <c r="K68" s="1">
        <v>64.209664000000004</v>
      </c>
      <c r="L68" s="1">
        <v>28</v>
      </c>
      <c r="M68" s="1">
        <v>12.21</v>
      </c>
      <c r="N68" s="1">
        <v>32958</v>
      </c>
      <c r="O68" t="s">
        <v>81</v>
      </c>
      <c r="P68" t="s">
        <v>92</v>
      </c>
      <c r="Q68" t="s">
        <v>49</v>
      </c>
      <c r="R68" t="s">
        <v>50</v>
      </c>
      <c r="S68" t="s">
        <v>50</v>
      </c>
      <c r="T68" s="1">
        <v>4.4349149399999996</v>
      </c>
      <c r="U68" s="1">
        <v>1.8068689600000001</v>
      </c>
      <c r="V68" s="1">
        <v>0</v>
      </c>
      <c r="W68" s="1">
        <v>0.31993379999999999</v>
      </c>
      <c r="X68" t="s">
        <v>50</v>
      </c>
      <c r="Y68" s="1">
        <v>3.1899999999999998E-2</v>
      </c>
      <c r="Z68" t="s">
        <v>50</v>
      </c>
      <c r="AA68" t="s">
        <v>50</v>
      </c>
      <c r="AB68" s="1">
        <v>0.62560000000000004</v>
      </c>
      <c r="AC68" s="1">
        <v>0.15</v>
      </c>
      <c r="AD68" t="s">
        <v>50</v>
      </c>
      <c r="AE68" s="1">
        <v>0.10340000000000001</v>
      </c>
      <c r="AF68" s="1">
        <v>2.5232999999999998E-2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298</v>
      </c>
      <c r="AQ68" s="1">
        <v>8729</v>
      </c>
      <c r="AR68" t="s">
        <v>51</v>
      </c>
    </row>
    <row r="69" spans="1:44">
      <c r="A69" s="1">
        <v>32705</v>
      </c>
      <c r="B69" s="1">
        <v>37821</v>
      </c>
      <c r="C69" s="1">
        <v>32043</v>
      </c>
      <c r="D69" t="s">
        <v>299</v>
      </c>
      <c r="E69" t="s">
        <v>300</v>
      </c>
      <c r="F69" t="str">
        <f>VLOOKUP(E69,Tabela2[#All],2,FALSE)</f>
        <v>SINO</v>
      </c>
      <c r="G69" t="s">
        <v>301</v>
      </c>
      <c r="H69" s="1">
        <v>0.51</v>
      </c>
      <c r="I69" s="1">
        <v>0.51</v>
      </c>
      <c r="J69" t="s">
        <v>46</v>
      </c>
      <c r="K69" s="1">
        <v>41.452514000000001</v>
      </c>
      <c r="L69" s="1">
        <v>7</v>
      </c>
      <c r="M69" s="1">
        <v>8.9499999999999993</v>
      </c>
      <c r="N69" s="1">
        <v>32958</v>
      </c>
      <c r="O69" t="s">
        <v>81</v>
      </c>
      <c r="P69" t="s">
        <v>289</v>
      </c>
      <c r="Q69" t="s">
        <v>49</v>
      </c>
      <c r="R69" t="s">
        <v>50</v>
      </c>
      <c r="S69" t="s">
        <v>50</v>
      </c>
      <c r="T69" s="1">
        <v>9.8756596499999993</v>
      </c>
      <c r="U69" s="1">
        <v>5.3784246800000002</v>
      </c>
      <c r="V69" s="1">
        <v>0</v>
      </c>
      <c r="W69" s="1">
        <v>0.60431939999999995</v>
      </c>
      <c r="X69" t="s">
        <v>50</v>
      </c>
      <c r="Y69" s="1">
        <v>6.8750000000000006E-2</v>
      </c>
      <c r="Z69" s="1">
        <v>0.37969999999999998</v>
      </c>
      <c r="AA69" s="1">
        <v>0.37</v>
      </c>
      <c r="AB69" t="s">
        <v>50</v>
      </c>
      <c r="AC69" s="1">
        <v>0.2908</v>
      </c>
      <c r="AD69" t="s">
        <v>50</v>
      </c>
      <c r="AE69" t="s">
        <v>50</v>
      </c>
      <c r="AF69" s="1">
        <v>7.4370000000000006E-2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300</v>
      </c>
      <c r="AQ69" s="1">
        <v>1697</v>
      </c>
      <c r="AR69" t="s">
        <v>51</v>
      </c>
    </row>
    <row r="70" spans="1:44">
      <c r="A70" s="1">
        <v>115967</v>
      </c>
      <c r="B70" s="1">
        <v>34281</v>
      </c>
      <c r="C70" s="1">
        <v>30765</v>
      </c>
      <c r="D70" t="s">
        <v>302</v>
      </c>
      <c r="E70" t="s">
        <v>303</v>
      </c>
      <c r="F70" t="str">
        <f>VLOOKUP(E70,Tabela2[#All],2,FALSE)</f>
        <v>RODINHA</v>
      </c>
      <c r="G70" t="s">
        <v>304</v>
      </c>
      <c r="H70" s="1">
        <v>0.62</v>
      </c>
      <c r="I70" s="1">
        <v>0.62</v>
      </c>
      <c r="J70" t="s">
        <v>46</v>
      </c>
      <c r="K70" s="1">
        <v>65.562336999999999</v>
      </c>
      <c r="L70" s="1">
        <v>8</v>
      </c>
      <c r="M70" s="1">
        <v>11.47</v>
      </c>
      <c r="N70" s="1">
        <v>32958</v>
      </c>
      <c r="O70" t="s">
        <v>81</v>
      </c>
      <c r="P70" t="s">
        <v>92</v>
      </c>
      <c r="Q70" t="s">
        <v>49</v>
      </c>
      <c r="R70" t="s">
        <v>50</v>
      </c>
      <c r="S70" t="s">
        <v>50</v>
      </c>
      <c r="T70" s="1">
        <v>9.8216164300000006</v>
      </c>
      <c r="U70" s="1">
        <v>5.4780703900000001</v>
      </c>
      <c r="V70" s="1">
        <v>0</v>
      </c>
      <c r="W70" s="1">
        <v>0.73466279999999995</v>
      </c>
      <c r="X70" t="s">
        <v>50</v>
      </c>
      <c r="Y70" s="1">
        <v>4.2000000000000003E-2</v>
      </c>
      <c r="Z70" t="s">
        <v>50</v>
      </c>
      <c r="AA70" s="1">
        <v>0.83333000000000002</v>
      </c>
      <c r="AB70" t="s">
        <v>50</v>
      </c>
      <c r="AC70" s="1">
        <v>0.29299999999999998</v>
      </c>
      <c r="AD70" t="s">
        <v>50</v>
      </c>
      <c r="AE70" s="1">
        <v>5.2999999999999999E-2</v>
      </c>
      <c r="AF70" s="1">
        <v>8.6499000000000006E-2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305</v>
      </c>
      <c r="AQ70" s="1">
        <v>2461</v>
      </c>
      <c r="AR70" t="s">
        <v>51</v>
      </c>
    </row>
    <row r="71" spans="1:44">
      <c r="A71" s="1">
        <v>32187</v>
      </c>
      <c r="B71" s="1">
        <v>38887</v>
      </c>
      <c r="C71" s="1">
        <v>31515</v>
      </c>
      <c r="D71" t="s">
        <v>306</v>
      </c>
      <c r="E71" t="s">
        <v>307</v>
      </c>
      <c r="F71" t="str">
        <f>VLOOKUP(E71,Tabela2[#All],2,FALSE)</f>
        <v>SINO</v>
      </c>
      <c r="G71" t="s">
        <v>308</v>
      </c>
      <c r="H71" s="1">
        <v>0.89</v>
      </c>
      <c r="I71" s="1">
        <v>0.89</v>
      </c>
      <c r="J71" t="s">
        <v>46</v>
      </c>
      <c r="K71" s="1">
        <v>56.893543000000001</v>
      </c>
      <c r="L71" s="1">
        <v>8</v>
      </c>
      <c r="M71" s="1">
        <v>11.46</v>
      </c>
      <c r="N71" s="1">
        <v>32958</v>
      </c>
      <c r="O71" t="s">
        <v>81</v>
      </c>
      <c r="P71" t="s">
        <v>289</v>
      </c>
      <c r="Q71" t="s">
        <v>49</v>
      </c>
      <c r="R71" t="s">
        <v>50</v>
      </c>
      <c r="S71" s="1">
        <v>0.7</v>
      </c>
      <c r="T71" s="1">
        <v>15.60030018</v>
      </c>
      <c r="U71" s="1">
        <v>9.1112253200000008</v>
      </c>
      <c r="V71" s="1">
        <v>0</v>
      </c>
      <c r="W71" s="1">
        <v>1.0545966</v>
      </c>
      <c r="X71" t="s">
        <v>50</v>
      </c>
      <c r="Y71" s="1">
        <v>9.3700000000000006E-2</v>
      </c>
      <c r="Z71" s="1">
        <v>0.17</v>
      </c>
      <c r="AA71" t="s">
        <v>50</v>
      </c>
      <c r="AB71" t="s">
        <v>50</v>
      </c>
      <c r="AC71" s="1">
        <v>0.48</v>
      </c>
      <c r="AD71" t="s">
        <v>50</v>
      </c>
      <c r="AE71" t="s">
        <v>50</v>
      </c>
      <c r="AF71" s="1">
        <v>0.102261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309</v>
      </c>
      <c r="AQ71" s="1">
        <v>1699</v>
      </c>
      <c r="AR71" t="s">
        <v>51</v>
      </c>
    </row>
    <row r="72" spans="1:44">
      <c r="A72" s="1">
        <v>32721</v>
      </c>
      <c r="B72" s="1">
        <v>34291</v>
      </c>
      <c r="C72" s="1">
        <v>32059</v>
      </c>
      <c r="D72" t="s">
        <v>310</v>
      </c>
      <c r="E72" t="s">
        <v>311</v>
      </c>
      <c r="F72" t="str">
        <f>VLOOKUP(E72,Tabela2[#All],2,FALSE)</f>
        <v>RODINHA</v>
      </c>
      <c r="G72" t="s">
        <v>312</v>
      </c>
      <c r="H72" s="1">
        <v>0.84499999999999997</v>
      </c>
      <c r="I72" s="1">
        <v>0.84499999999999997</v>
      </c>
      <c r="J72" t="s">
        <v>46</v>
      </c>
      <c r="K72" s="1">
        <v>56.882407000000001</v>
      </c>
      <c r="L72" s="1">
        <v>8</v>
      </c>
      <c r="M72" s="1">
        <v>10.97</v>
      </c>
      <c r="N72" s="1">
        <v>32958</v>
      </c>
      <c r="O72" t="s">
        <v>81</v>
      </c>
      <c r="P72" t="s">
        <v>289</v>
      </c>
      <c r="Q72" t="s">
        <v>49</v>
      </c>
      <c r="R72" t="s">
        <v>50</v>
      </c>
      <c r="S72" t="s">
        <v>50</v>
      </c>
      <c r="T72" t="s">
        <v>50</v>
      </c>
      <c r="U72" s="1">
        <v>5.0744362799999996</v>
      </c>
      <c r="V72" s="1">
        <v>0</v>
      </c>
      <c r="W72" s="1">
        <v>1.0012743</v>
      </c>
      <c r="X72" t="s">
        <v>50</v>
      </c>
      <c r="Y72" s="1">
        <v>3.9300000000000002E-2</v>
      </c>
      <c r="Z72" s="1">
        <v>0</v>
      </c>
      <c r="AA72" s="1">
        <v>0.70579999999999998</v>
      </c>
      <c r="AB72" t="s">
        <v>50</v>
      </c>
      <c r="AC72" s="1">
        <v>9.3799999999999994E-2</v>
      </c>
      <c r="AD72" t="s">
        <v>50</v>
      </c>
      <c r="AE72" s="1">
        <v>5.5E-2</v>
      </c>
      <c r="AF72" s="1">
        <v>8.3936999999999998E-2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311</v>
      </c>
      <c r="AQ72" s="1">
        <v>1701</v>
      </c>
      <c r="AR72" t="s">
        <v>51</v>
      </c>
    </row>
    <row r="73" spans="1:44">
      <c r="A73" s="1">
        <v>53189</v>
      </c>
      <c r="B73" s="1">
        <v>53191</v>
      </c>
      <c r="C73" s="1">
        <v>47586</v>
      </c>
      <c r="D73" t="s">
        <v>313</v>
      </c>
      <c r="E73" t="s">
        <v>314</v>
      </c>
      <c r="F73" t="str">
        <f>VLOOKUP(E73,Tabela2[#All],2,FALSE)</f>
        <v>RODINHA</v>
      </c>
      <c r="G73" t="s">
        <v>315</v>
      </c>
      <c r="H73" s="1">
        <v>0.62</v>
      </c>
      <c r="I73" s="1">
        <v>0.62</v>
      </c>
      <c r="J73" t="s">
        <v>46</v>
      </c>
      <c r="K73" s="1">
        <v>57.51634</v>
      </c>
      <c r="L73" s="1">
        <v>8</v>
      </c>
      <c r="M73" s="1">
        <v>9.18</v>
      </c>
      <c r="N73" s="1">
        <v>32958</v>
      </c>
      <c r="O73" t="s">
        <v>81</v>
      </c>
      <c r="P73" t="s">
        <v>91</v>
      </c>
      <c r="Q73" t="s">
        <v>49</v>
      </c>
      <c r="R73" t="s">
        <v>50</v>
      </c>
      <c r="S73" t="s">
        <v>50</v>
      </c>
      <c r="T73" s="1">
        <v>8.4225179000000008</v>
      </c>
      <c r="U73" s="1">
        <v>4.6021613300000004</v>
      </c>
      <c r="V73" s="1">
        <v>0</v>
      </c>
      <c r="W73" s="1">
        <v>0.73466279999999995</v>
      </c>
      <c r="X73" t="s">
        <v>50</v>
      </c>
      <c r="Y73" s="1">
        <v>4.2000000000000003E-2</v>
      </c>
      <c r="Z73" t="s">
        <v>50</v>
      </c>
      <c r="AA73" s="1">
        <v>0.66659999999999997</v>
      </c>
      <c r="AB73" t="s">
        <v>50</v>
      </c>
      <c r="AC73" s="1">
        <v>0.29299999999999998</v>
      </c>
      <c r="AD73" t="s">
        <v>50</v>
      </c>
      <c r="AE73" s="1">
        <v>5.2999999999999999E-2</v>
      </c>
      <c r="AF73" s="1">
        <v>8.3309999999999995E-2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316</v>
      </c>
      <c r="AQ73" s="1">
        <v>11687</v>
      </c>
      <c r="AR73" t="s">
        <v>51</v>
      </c>
    </row>
    <row r="74" spans="1:44">
      <c r="A74" s="1">
        <v>53189</v>
      </c>
      <c r="B74" s="1">
        <v>53191</v>
      </c>
      <c r="C74" s="1">
        <v>47586</v>
      </c>
      <c r="D74" t="s">
        <v>313</v>
      </c>
      <c r="E74" t="s">
        <v>314</v>
      </c>
      <c r="F74" t="str">
        <f>VLOOKUP(E74,Tabela2[#All],2,FALSE)</f>
        <v>RODINHA</v>
      </c>
      <c r="G74" t="s">
        <v>315</v>
      </c>
      <c r="H74" s="1">
        <v>0.62</v>
      </c>
      <c r="I74" s="1">
        <v>0.62</v>
      </c>
      <c r="J74" t="s">
        <v>46</v>
      </c>
      <c r="K74" s="1">
        <v>57.51634</v>
      </c>
      <c r="L74" s="1">
        <v>8</v>
      </c>
      <c r="M74" s="1">
        <v>9.18</v>
      </c>
      <c r="N74" s="1">
        <v>32958</v>
      </c>
      <c r="O74" t="s">
        <v>81</v>
      </c>
      <c r="P74" t="s">
        <v>317</v>
      </c>
      <c r="Q74" t="s">
        <v>49</v>
      </c>
      <c r="R74" t="s">
        <v>50</v>
      </c>
      <c r="S74" t="s">
        <v>50</v>
      </c>
      <c r="T74" s="1">
        <v>8.4225179000000008</v>
      </c>
      <c r="U74" s="1">
        <v>4.6021613300000004</v>
      </c>
      <c r="V74" s="1">
        <v>0</v>
      </c>
      <c r="W74" s="1">
        <v>0.73466279999999995</v>
      </c>
      <c r="X74" t="s">
        <v>50</v>
      </c>
      <c r="Y74" s="1">
        <v>4.2000000000000003E-2</v>
      </c>
      <c r="Z74" t="s">
        <v>50</v>
      </c>
      <c r="AA74" s="1">
        <v>0.66659999999999997</v>
      </c>
      <c r="AB74" t="s">
        <v>50</v>
      </c>
      <c r="AC74" s="1">
        <v>0.29299999999999998</v>
      </c>
      <c r="AD74" t="s">
        <v>50</v>
      </c>
      <c r="AE74" s="1">
        <v>5.2999999999999999E-2</v>
      </c>
      <c r="AF74" s="1">
        <v>8.3309999999999995E-2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316</v>
      </c>
      <c r="AQ74" s="1">
        <v>11687</v>
      </c>
      <c r="AR74" t="s">
        <v>51</v>
      </c>
    </row>
    <row r="75" spans="1:44">
      <c r="A75" s="1">
        <v>53189</v>
      </c>
      <c r="B75" s="1">
        <v>53191</v>
      </c>
      <c r="C75" s="1">
        <v>47586</v>
      </c>
      <c r="D75" t="s">
        <v>313</v>
      </c>
      <c r="E75" t="s">
        <v>314</v>
      </c>
      <c r="F75" t="str">
        <f>VLOOKUP(E75,Tabela2[#All],2,FALSE)</f>
        <v>RODINHA</v>
      </c>
      <c r="G75" t="s">
        <v>315</v>
      </c>
      <c r="H75" s="1">
        <v>0.62</v>
      </c>
      <c r="I75" s="1">
        <v>0.62</v>
      </c>
      <c r="J75" t="s">
        <v>46</v>
      </c>
      <c r="K75" s="1">
        <v>57.51634</v>
      </c>
      <c r="L75" s="1">
        <v>8</v>
      </c>
      <c r="M75" s="1">
        <v>9.18</v>
      </c>
      <c r="N75" s="1">
        <v>32958</v>
      </c>
      <c r="O75" t="s">
        <v>81</v>
      </c>
      <c r="P75" t="s">
        <v>92</v>
      </c>
      <c r="Q75" t="s">
        <v>49</v>
      </c>
      <c r="R75" t="s">
        <v>50</v>
      </c>
      <c r="S75" t="s">
        <v>50</v>
      </c>
      <c r="T75" s="1">
        <v>8.4225179000000008</v>
      </c>
      <c r="U75" s="1">
        <v>4.6021613300000004</v>
      </c>
      <c r="V75" s="1">
        <v>0</v>
      </c>
      <c r="W75" s="1">
        <v>0.73466279999999995</v>
      </c>
      <c r="X75" t="s">
        <v>50</v>
      </c>
      <c r="Y75" s="1">
        <v>4.2000000000000003E-2</v>
      </c>
      <c r="Z75" t="s">
        <v>50</v>
      </c>
      <c r="AA75" s="1">
        <v>0.66659999999999997</v>
      </c>
      <c r="AB75" t="s">
        <v>50</v>
      </c>
      <c r="AC75" s="1">
        <v>0.29299999999999998</v>
      </c>
      <c r="AD75" t="s">
        <v>50</v>
      </c>
      <c r="AE75" s="1">
        <v>5.2999999999999999E-2</v>
      </c>
      <c r="AF75" s="1">
        <v>8.3309999999999995E-2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316</v>
      </c>
      <c r="AQ75" s="1">
        <v>11687</v>
      </c>
      <c r="AR75" t="s">
        <v>51</v>
      </c>
    </row>
    <row r="76" spans="1:44">
      <c r="A76" s="1">
        <v>115950</v>
      </c>
      <c r="B76" s="1">
        <v>53191</v>
      </c>
      <c r="C76" s="1">
        <v>47586</v>
      </c>
      <c r="D76" t="s">
        <v>318</v>
      </c>
      <c r="E76" t="s">
        <v>314</v>
      </c>
      <c r="F76" t="str">
        <f>VLOOKUP(E76,Tabela2[#All],2,FALSE)</f>
        <v>RODINHA</v>
      </c>
      <c r="G76" t="s">
        <v>315</v>
      </c>
      <c r="H76" s="1">
        <v>0.62</v>
      </c>
      <c r="I76" s="1">
        <v>0.62</v>
      </c>
      <c r="J76" t="s">
        <v>46</v>
      </c>
      <c r="K76" s="1">
        <v>57.51634</v>
      </c>
      <c r="L76" s="1">
        <v>8</v>
      </c>
      <c r="M76" s="1">
        <v>9.18</v>
      </c>
      <c r="N76" s="1">
        <v>32958</v>
      </c>
      <c r="O76" t="s">
        <v>81</v>
      </c>
      <c r="P76" t="s">
        <v>92</v>
      </c>
      <c r="Q76" t="s">
        <v>49</v>
      </c>
      <c r="R76" t="s">
        <v>50</v>
      </c>
      <c r="S76" t="s">
        <v>50</v>
      </c>
      <c r="T76" s="1">
        <v>8.3118952999999998</v>
      </c>
      <c r="U76" s="1">
        <v>4.6021613300000004</v>
      </c>
      <c r="V76" s="1">
        <v>0</v>
      </c>
      <c r="W76" s="1">
        <v>0.73466279999999995</v>
      </c>
      <c r="X76" t="s">
        <v>50</v>
      </c>
      <c r="Y76" s="1">
        <v>4.2000000000000003E-2</v>
      </c>
      <c r="Z76" t="s">
        <v>50</v>
      </c>
      <c r="AA76" s="1">
        <v>0.6</v>
      </c>
      <c r="AB76" t="s">
        <v>50</v>
      </c>
      <c r="AC76" s="1">
        <v>0.29299999999999998</v>
      </c>
      <c r="AD76" t="s">
        <v>50</v>
      </c>
      <c r="AE76" s="1">
        <v>5.2999999999999999E-2</v>
      </c>
      <c r="AF76" s="1">
        <v>8.3309999999999995E-2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316</v>
      </c>
      <c r="AQ76" s="1">
        <v>11687</v>
      </c>
      <c r="AR76" t="s">
        <v>51</v>
      </c>
    </row>
    <row r="77" spans="1:44">
      <c r="A77" s="1">
        <v>116929</v>
      </c>
      <c r="B77" s="1">
        <v>116928</v>
      </c>
      <c r="C77" s="1">
        <v>99330</v>
      </c>
      <c r="D77" t="s">
        <v>319</v>
      </c>
      <c r="E77" t="s">
        <v>320</v>
      </c>
      <c r="F77" t="str">
        <f>VLOOKUP(E77,Tabela2[#All],2,FALSE)</f>
        <v>BASE PEDESTAL</v>
      </c>
      <c r="G77" t="s">
        <v>321</v>
      </c>
      <c r="H77" s="1">
        <v>0.8</v>
      </c>
      <c r="I77" s="1">
        <v>0.8</v>
      </c>
      <c r="J77" t="s">
        <v>46</v>
      </c>
      <c r="K77" s="1">
        <v>49.415514999999999</v>
      </c>
      <c r="L77" s="1">
        <v>5</v>
      </c>
      <c r="M77" s="1">
        <v>9.41</v>
      </c>
      <c r="N77" s="1">
        <v>32958</v>
      </c>
      <c r="O77" t="s">
        <v>81</v>
      </c>
      <c r="P77" t="s">
        <v>92</v>
      </c>
      <c r="Q77" t="s">
        <v>49</v>
      </c>
      <c r="R77" t="s">
        <v>50</v>
      </c>
      <c r="S77" t="s">
        <v>50</v>
      </c>
      <c r="T77" s="1">
        <v>14.16565378</v>
      </c>
      <c r="U77" s="1">
        <v>7.0740136299999996</v>
      </c>
      <c r="V77" s="1">
        <v>2.7027800000000002</v>
      </c>
      <c r="W77" s="1">
        <v>0.94795200000000002</v>
      </c>
      <c r="X77" t="s">
        <v>50</v>
      </c>
      <c r="Y77" s="1">
        <v>7.6600000000000001E-2</v>
      </c>
      <c r="Z77" t="s">
        <v>50</v>
      </c>
      <c r="AA77" s="1">
        <v>0.5</v>
      </c>
      <c r="AB77" s="1">
        <v>1.3635999999999999</v>
      </c>
      <c r="AC77" s="1">
        <v>0.3</v>
      </c>
      <c r="AD77" t="s">
        <v>50</v>
      </c>
      <c r="AE77" s="1">
        <v>0.15</v>
      </c>
      <c r="AF77" s="1">
        <v>0.13539000000000001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322</v>
      </c>
      <c r="AQ77" s="1">
        <v>13207</v>
      </c>
      <c r="AR77" t="s">
        <v>51</v>
      </c>
    </row>
    <row r="78" spans="1:44">
      <c r="A78" s="1">
        <v>44679</v>
      </c>
      <c r="B78" s="1">
        <v>44681</v>
      </c>
      <c r="C78" s="1">
        <v>39730</v>
      </c>
      <c r="D78" t="s">
        <v>323</v>
      </c>
      <c r="E78" t="s">
        <v>324</v>
      </c>
      <c r="F78" t="str">
        <f>VLOOKUP(E78,Tabela2[#All],2,FALSE)</f>
        <v>CAMPÂNULA</v>
      </c>
      <c r="G78" t="s">
        <v>325</v>
      </c>
      <c r="H78" s="1">
        <v>1.79</v>
      </c>
      <c r="I78" s="1">
        <v>1.79</v>
      </c>
      <c r="J78" t="s">
        <v>46</v>
      </c>
      <c r="K78" s="1">
        <v>58.282209000000002</v>
      </c>
      <c r="L78" s="1">
        <v>5</v>
      </c>
      <c r="M78" s="1">
        <v>16.3</v>
      </c>
      <c r="N78" s="1">
        <v>32958</v>
      </c>
      <c r="O78" t="s">
        <v>81</v>
      </c>
      <c r="P78" t="s">
        <v>289</v>
      </c>
      <c r="Q78" t="s">
        <v>49</v>
      </c>
      <c r="R78" t="s">
        <v>50</v>
      </c>
      <c r="S78" t="s">
        <v>50</v>
      </c>
      <c r="T78" t="s">
        <v>50</v>
      </c>
      <c r="U78" s="1">
        <v>11.30380757</v>
      </c>
      <c r="V78" s="1">
        <v>0</v>
      </c>
      <c r="W78" s="1">
        <v>2.1210426</v>
      </c>
      <c r="X78" t="s">
        <v>50</v>
      </c>
      <c r="Y78" s="1">
        <v>0.106</v>
      </c>
      <c r="Z78" s="1">
        <v>1.5384</v>
      </c>
      <c r="AA78" s="1">
        <v>0.50849999999999995</v>
      </c>
      <c r="AB78" t="s">
        <v>50</v>
      </c>
      <c r="AC78" s="1">
        <v>0.61560000000000004</v>
      </c>
      <c r="AD78" t="s">
        <v>50</v>
      </c>
      <c r="AE78" s="1">
        <v>0.18</v>
      </c>
      <c r="AF78" s="1">
        <v>0.156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324</v>
      </c>
      <c r="AQ78" s="1">
        <v>2567</v>
      </c>
      <c r="AR78" t="s">
        <v>51</v>
      </c>
    </row>
    <row r="79" spans="1:44">
      <c r="A79" s="1">
        <v>44677</v>
      </c>
      <c r="B79" s="1">
        <v>44682</v>
      </c>
      <c r="C79" s="1">
        <v>39728</v>
      </c>
      <c r="D79" t="s">
        <v>326</v>
      </c>
      <c r="E79" t="s">
        <v>327</v>
      </c>
      <c r="F79" t="str">
        <f>VLOOKUP(E79,Tabela2[#All],2,FALSE)</f>
        <v>CAMPÂNULA</v>
      </c>
      <c r="G79" t="s">
        <v>328</v>
      </c>
      <c r="H79" s="1">
        <v>1.115</v>
      </c>
      <c r="I79" s="1">
        <v>1.115</v>
      </c>
      <c r="J79" t="s">
        <v>46</v>
      </c>
      <c r="K79" s="1">
        <v>50.870851000000002</v>
      </c>
      <c r="L79" s="1">
        <v>6</v>
      </c>
      <c r="M79" s="1">
        <v>15.215</v>
      </c>
      <c r="N79" s="1">
        <v>32958</v>
      </c>
      <c r="O79" t="s">
        <v>81</v>
      </c>
      <c r="P79" t="s">
        <v>289</v>
      </c>
      <c r="Q79" t="s">
        <v>49</v>
      </c>
      <c r="R79" t="s">
        <v>50</v>
      </c>
      <c r="S79" t="s">
        <v>50</v>
      </c>
      <c r="T79" t="s">
        <v>50</v>
      </c>
      <c r="U79" s="1">
        <v>8.9113785500000002</v>
      </c>
      <c r="V79" s="1">
        <v>0</v>
      </c>
      <c r="W79" s="1">
        <v>1.3212081</v>
      </c>
      <c r="X79" t="s">
        <v>50</v>
      </c>
      <c r="Y79" s="1">
        <v>0.106</v>
      </c>
      <c r="Z79" s="1">
        <v>1.35</v>
      </c>
      <c r="AA79" s="1">
        <v>0.36363600000000001</v>
      </c>
      <c r="AB79" t="s">
        <v>50</v>
      </c>
      <c r="AC79" s="1">
        <v>0.42320000000000002</v>
      </c>
      <c r="AD79" t="s">
        <v>50</v>
      </c>
      <c r="AE79" s="1">
        <v>0.18</v>
      </c>
      <c r="AF79" s="1">
        <v>0.129999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327</v>
      </c>
      <c r="AQ79" s="1">
        <v>2544</v>
      </c>
      <c r="AR79" t="s">
        <v>51</v>
      </c>
    </row>
    <row r="80" spans="1:44">
      <c r="A80" s="1">
        <v>55817</v>
      </c>
      <c r="B80" s="1">
        <v>55819</v>
      </c>
      <c r="C80" s="1">
        <v>50090</v>
      </c>
      <c r="D80" t="s">
        <v>329</v>
      </c>
      <c r="E80" t="s">
        <v>330</v>
      </c>
      <c r="F80" t="str">
        <f>VLOOKUP(E80,Tabela2[#All],2,FALSE)</f>
        <v>RODINHA</v>
      </c>
      <c r="G80" t="s">
        <v>331</v>
      </c>
      <c r="H80" s="1">
        <v>0.65</v>
      </c>
      <c r="I80" s="1">
        <v>0.65</v>
      </c>
      <c r="J80" t="s">
        <v>46</v>
      </c>
      <c r="K80" s="1">
        <v>49.066667000000002</v>
      </c>
      <c r="L80" s="1">
        <v>8</v>
      </c>
      <c r="M80" s="1">
        <v>11.25</v>
      </c>
      <c r="N80" s="1">
        <v>32958</v>
      </c>
      <c r="O80" t="s">
        <v>81</v>
      </c>
      <c r="P80" t="s">
        <v>289</v>
      </c>
      <c r="Q80" t="s">
        <v>49</v>
      </c>
      <c r="R80" t="s">
        <v>50</v>
      </c>
      <c r="S80" t="s">
        <v>50</v>
      </c>
      <c r="T80" t="s">
        <v>50</v>
      </c>
      <c r="U80" s="1">
        <v>4.8438537899999998</v>
      </c>
      <c r="V80" s="1">
        <v>0</v>
      </c>
      <c r="W80" s="1">
        <v>0.77021099999999998</v>
      </c>
      <c r="X80" t="s">
        <v>50</v>
      </c>
      <c r="Y80" s="1">
        <v>2.9499999999999998E-2</v>
      </c>
      <c r="Z80" t="s">
        <v>50</v>
      </c>
      <c r="AA80" s="1">
        <v>0.66659999999999997</v>
      </c>
      <c r="AB80" t="s">
        <v>50</v>
      </c>
      <c r="AC80" s="1">
        <v>0.18779999999999999</v>
      </c>
      <c r="AD80" t="s">
        <v>50</v>
      </c>
      <c r="AE80" s="1">
        <v>5.5E-2</v>
      </c>
      <c r="AF80" s="1">
        <v>8.3438999999999999E-2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330</v>
      </c>
      <c r="AQ80" s="1">
        <v>3947</v>
      </c>
      <c r="AR80" t="s">
        <v>51</v>
      </c>
    </row>
    <row r="81" spans="1:44">
      <c r="A81" s="1">
        <v>117711</v>
      </c>
      <c r="B81" s="1">
        <v>65619</v>
      </c>
      <c r="C81" s="1">
        <v>59569</v>
      </c>
      <c r="D81" t="s">
        <v>332</v>
      </c>
      <c r="E81" t="s">
        <v>296</v>
      </c>
      <c r="F81" t="str">
        <f>VLOOKUP(E81,Tabela2[#All],2,FALSE)</f>
        <v>INSERTO/ FOCINHO DE PORCO</v>
      </c>
      <c r="G81" t="s">
        <v>297</v>
      </c>
      <c r="H81" s="1">
        <v>0.27</v>
      </c>
      <c r="I81" s="1">
        <v>0.27</v>
      </c>
      <c r="J81" t="s">
        <v>46</v>
      </c>
      <c r="K81" s="1">
        <v>64.209664000000004</v>
      </c>
      <c r="L81" s="1">
        <v>28</v>
      </c>
      <c r="M81" s="1">
        <v>12.21</v>
      </c>
      <c r="N81" s="1">
        <v>32958</v>
      </c>
      <c r="O81" t="s">
        <v>81</v>
      </c>
      <c r="P81" t="s">
        <v>289</v>
      </c>
      <c r="Q81" t="s">
        <v>49</v>
      </c>
      <c r="R81" t="s">
        <v>50</v>
      </c>
      <c r="S81" t="s">
        <v>50</v>
      </c>
      <c r="T81" s="1">
        <v>4.4349149399999996</v>
      </c>
      <c r="U81" s="1">
        <v>1.8068689600000001</v>
      </c>
      <c r="V81" s="1">
        <v>0</v>
      </c>
      <c r="W81" s="1">
        <v>0.31993379999999999</v>
      </c>
      <c r="X81" t="s">
        <v>50</v>
      </c>
      <c r="Y81" s="1">
        <v>3.1899999999999998E-2</v>
      </c>
      <c r="Z81" t="s">
        <v>50</v>
      </c>
      <c r="AA81" t="s">
        <v>50</v>
      </c>
      <c r="AB81" s="1">
        <v>0.62560000000000004</v>
      </c>
      <c r="AC81" s="1">
        <v>0.15</v>
      </c>
      <c r="AD81" t="s">
        <v>50</v>
      </c>
      <c r="AE81" s="1">
        <v>0.10340000000000001</v>
      </c>
      <c r="AF81" s="1">
        <v>2.5232999999999998E-2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298</v>
      </c>
      <c r="AQ81" s="1">
        <v>8729</v>
      </c>
      <c r="AR81" t="s">
        <v>51</v>
      </c>
    </row>
    <row r="82" spans="1:44">
      <c r="A82" s="1">
        <v>95565</v>
      </c>
      <c r="B82" s="1">
        <v>95564</v>
      </c>
      <c r="C82" s="1">
        <v>87237</v>
      </c>
      <c r="D82" t="s">
        <v>333</v>
      </c>
      <c r="E82" t="s">
        <v>334</v>
      </c>
      <c r="F82" t="str">
        <f>VLOOKUP(E82,Tabela2[#All],2,FALSE)</f>
        <v>Válvula Nível 6</v>
      </c>
      <c r="G82" t="s">
        <v>335</v>
      </c>
      <c r="H82" s="1">
        <v>0.98499999999999999</v>
      </c>
      <c r="I82" s="1">
        <v>0.98499999999999999</v>
      </c>
      <c r="J82" t="s">
        <v>65</v>
      </c>
      <c r="K82" s="1">
        <v>75.599999999999994</v>
      </c>
      <c r="L82" s="1">
        <v>5.4</v>
      </c>
      <c r="M82" s="1">
        <v>7.5</v>
      </c>
      <c r="N82" s="1">
        <v>36449</v>
      </c>
      <c r="O82" t="s">
        <v>336</v>
      </c>
      <c r="P82" t="s">
        <v>337</v>
      </c>
      <c r="Q82" t="s">
        <v>76</v>
      </c>
      <c r="R82" t="s">
        <v>50</v>
      </c>
      <c r="S82" t="s">
        <v>50</v>
      </c>
      <c r="T82" s="1">
        <v>8.2527316000000006</v>
      </c>
      <c r="U82" s="1">
        <v>7.9942872899999999</v>
      </c>
      <c r="V82" s="1">
        <v>0</v>
      </c>
      <c r="W82" s="1">
        <v>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s="1">
        <v>7.3999999999999996E-2</v>
      </c>
      <c r="AH82" t="s">
        <v>50</v>
      </c>
      <c r="AI82" s="1">
        <v>2.5999999999999999E-2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338</v>
      </c>
      <c r="AQ82" s="1">
        <v>10047</v>
      </c>
      <c r="AR82" t="s">
        <v>70</v>
      </c>
    </row>
    <row r="83" spans="1:44">
      <c r="A83" s="1">
        <v>42013</v>
      </c>
      <c r="B83" s="1">
        <v>42014</v>
      </c>
      <c r="C83" s="1">
        <v>37200</v>
      </c>
      <c r="D83" t="s">
        <v>346</v>
      </c>
      <c r="E83" t="s">
        <v>347</v>
      </c>
      <c r="F83" t="str">
        <f>VLOOKUP(E83,Tabela2[#All],2,FALSE)</f>
        <v>Válvula Nível 6</v>
      </c>
      <c r="G83" t="s">
        <v>348</v>
      </c>
      <c r="H83" s="1">
        <v>1.73</v>
      </c>
      <c r="I83" s="1">
        <v>1.73</v>
      </c>
      <c r="J83" t="s">
        <v>65</v>
      </c>
      <c r="K83" s="1">
        <v>80.685714000000004</v>
      </c>
      <c r="L83" s="1">
        <v>6.4</v>
      </c>
      <c r="M83" s="1">
        <v>14</v>
      </c>
      <c r="N83" s="1">
        <v>36449</v>
      </c>
      <c r="O83" t="s">
        <v>336</v>
      </c>
      <c r="P83" t="s">
        <v>349</v>
      </c>
      <c r="Q83" t="s">
        <v>350</v>
      </c>
      <c r="R83" t="s">
        <v>50</v>
      </c>
      <c r="S83" t="s">
        <v>50</v>
      </c>
      <c r="T83" s="1">
        <v>12.954049850000001</v>
      </c>
      <c r="U83" s="1">
        <v>12.67131541</v>
      </c>
      <c r="V83" s="1">
        <v>0</v>
      </c>
      <c r="W83" s="1">
        <v>0</v>
      </c>
      <c r="X83" t="s">
        <v>50</v>
      </c>
      <c r="Y83" t="s">
        <v>50</v>
      </c>
      <c r="Z83" t="s">
        <v>50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s="1">
        <v>0.104167</v>
      </c>
      <c r="AH83" s="1">
        <v>0.23069999999999999</v>
      </c>
      <c r="AI83" s="1">
        <v>0.05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351</v>
      </c>
      <c r="AQ83" s="1">
        <v>2244</v>
      </c>
      <c r="AR83" t="s">
        <v>70</v>
      </c>
    </row>
    <row r="84" spans="1:44">
      <c r="A84" s="1">
        <v>42122</v>
      </c>
      <c r="B84" s="1">
        <v>42123</v>
      </c>
      <c r="C84" s="1">
        <v>37274</v>
      </c>
      <c r="D84" t="s">
        <v>352</v>
      </c>
      <c r="E84" t="s">
        <v>353</v>
      </c>
      <c r="F84" t="str">
        <f>VLOOKUP(E84,Tabela2[#All],2,FALSE)</f>
        <v>Válvula Nível 6</v>
      </c>
      <c r="G84" t="s">
        <v>354</v>
      </c>
      <c r="H84" s="1">
        <v>1.65</v>
      </c>
      <c r="I84" s="1">
        <v>1.65</v>
      </c>
      <c r="J84" t="s">
        <v>65</v>
      </c>
      <c r="K84" s="1">
        <v>78.588234999999997</v>
      </c>
      <c r="L84" s="1">
        <v>6.4</v>
      </c>
      <c r="M84" s="1">
        <v>13.4</v>
      </c>
      <c r="N84" s="1">
        <v>36449</v>
      </c>
      <c r="O84" t="s">
        <v>336</v>
      </c>
      <c r="P84" t="s">
        <v>349</v>
      </c>
      <c r="Q84" t="s">
        <v>350</v>
      </c>
      <c r="R84" t="s">
        <v>50</v>
      </c>
      <c r="S84" t="s">
        <v>50</v>
      </c>
      <c r="T84" s="1">
        <v>11.248669769999999</v>
      </c>
      <c r="U84" s="1">
        <v>10.965935330000001</v>
      </c>
      <c r="V84" s="1">
        <v>0</v>
      </c>
      <c r="W84" s="1">
        <v>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s="1">
        <v>0.104167</v>
      </c>
      <c r="AH84" s="1">
        <v>0.33</v>
      </c>
      <c r="AI84" s="1">
        <v>0.05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355</v>
      </c>
      <c r="AQ84" s="1">
        <v>7687</v>
      </c>
      <c r="AR84" t="s">
        <v>70</v>
      </c>
    </row>
    <row r="85" spans="1:44">
      <c r="A85" s="1">
        <v>42015</v>
      </c>
      <c r="B85" s="1">
        <v>42016</v>
      </c>
      <c r="C85" s="1">
        <v>37202</v>
      </c>
      <c r="D85" t="s">
        <v>356</v>
      </c>
      <c r="E85" t="s">
        <v>357</v>
      </c>
      <c r="F85" t="str">
        <f>VLOOKUP(E85,Tabela2[#All],2,FALSE)</f>
        <v>Válvula Nível 6</v>
      </c>
      <c r="G85" t="s">
        <v>358</v>
      </c>
      <c r="H85" s="1">
        <v>1.69</v>
      </c>
      <c r="I85" s="1">
        <v>1.69</v>
      </c>
      <c r="J85" t="s">
        <v>65</v>
      </c>
      <c r="K85" s="1">
        <v>78.840580000000003</v>
      </c>
      <c r="L85" s="1">
        <v>6.4</v>
      </c>
      <c r="M85" s="1">
        <v>13.8</v>
      </c>
      <c r="N85" s="1">
        <v>36449</v>
      </c>
      <c r="O85" t="s">
        <v>336</v>
      </c>
      <c r="P85" t="s">
        <v>349</v>
      </c>
      <c r="Q85" t="s">
        <v>350</v>
      </c>
      <c r="R85" t="s">
        <v>50</v>
      </c>
      <c r="S85" t="s">
        <v>50</v>
      </c>
      <c r="T85" s="1">
        <v>12.574775669999999</v>
      </c>
      <c r="U85" s="1">
        <v>12.292041230000001</v>
      </c>
      <c r="V85" s="1">
        <v>0</v>
      </c>
      <c r="W85" s="1">
        <v>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s="1">
        <v>0.104167</v>
      </c>
      <c r="AH85" s="1">
        <v>0.23069999999999999</v>
      </c>
      <c r="AI85" s="1">
        <v>0.05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359</v>
      </c>
      <c r="AQ85" s="1">
        <v>2243</v>
      </c>
      <c r="AR85" t="s">
        <v>70</v>
      </c>
    </row>
    <row r="86" spans="1:44">
      <c r="A86" s="1">
        <v>42017</v>
      </c>
      <c r="B86" s="1">
        <v>42018</v>
      </c>
      <c r="C86" s="1">
        <v>37204</v>
      </c>
      <c r="D86" t="s">
        <v>360</v>
      </c>
      <c r="E86" t="s">
        <v>361</v>
      </c>
      <c r="F86" t="str">
        <f>VLOOKUP(E86,Tabela2[#All],2,FALSE)</f>
        <v>Válvula Nível 6</v>
      </c>
      <c r="G86" t="s">
        <v>362</v>
      </c>
      <c r="H86" s="1">
        <v>1.89</v>
      </c>
      <c r="I86" s="1">
        <v>1.89</v>
      </c>
      <c r="J86" t="s">
        <v>65</v>
      </c>
      <c r="K86" s="1">
        <v>82.555555999999996</v>
      </c>
      <c r="L86" s="1">
        <v>6.4</v>
      </c>
      <c r="M86" s="1">
        <v>14.4</v>
      </c>
      <c r="N86" s="1">
        <v>36449</v>
      </c>
      <c r="O86" t="s">
        <v>336</v>
      </c>
      <c r="P86" t="s">
        <v>349</v>
      </c>
      <c r="Q86" t="s">
        <v>350</v>
      </c>
      <c r="R86" t="s">
        <v>50</v>
      </c>
      <c r="S86" t="s">
        <v>50</v>
      </c>
      <c r="T86" s="1">
        <v>14.04371366</v>
      </c>
      <c r="U86" s="1">
        <v>13.760979219999999</v>
      </c>
      <c r="V86" s="1">
        <v>0</v>
      </c>
      <c r="W86" s="1">
        <v>0</v>
      </c>
      <c r="X86" t="s">
        <v>50</v>
      </c>
      <c r="Y86" t="s">
        <v>50</v>
      </c>
      <c r="Z86" t="s">
        <v>50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s="1">
        <v>0.10416599999999999</v>
      </c>
      <c r="AH86" s="1">
        <v>0.68959999999999999</v>
      </c>
      <c r="AI86" s="1">
        <v>0.05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363</v>
      </c>
      <c r="AQ86" s="1">
        <v>2242</v>
      </c>
      <c r="AR86" t="s">
        <v>70</v>
      </c>
    </row>
    <row r="87" spans="1:44">
      <c r="A87" s="1">
        <v>42019</v>
      </c>
      <c r="B87" s="1">
        <v>42020</v>
      </c>
      <c r="C87" s="1">
        <v>37206</v>
      </c>
      <c r="D87" t="s">
        <v>364</v>
      </c>
      <c r="E87" t="s">
        <v>365</v>
      </c>
      <c r="F87" t="str">
        <f>VLOOKUP(E87,Tabela2[#All],2,FALSE)</f>
        <v>Válvula Nível 6</v>
      </c>
      <c r="G87" t="s">
        <v>366</v>
      </c>
      <c r="H87" s="1">
        <v>1.88</v>
      </c>
      <c r="I87" s="1">
        <v>1.88</v>
      </c>
      <c r="J87" t="s">
        <v>65</v>
      </c>
      <c r="K87" s="1">
        <v>84.383561999999998</v>
      </c>
      <c r="L87" s="1">
        <v>6.4</v>
      </c>
      <c r="M87" s="1">
        <v>14.6</v>
      </c>
      <c r="N87" s="1">
        <v>36449</v>
      </c>
      <c r="O87" t="s">
        <v>336</v>
      </c>
      <c r="P87" t="s">
        <v>349</v>
      </c>
      <c r="Q87" t="s">
        <v>350</v>
      </c>
      <c r="R87" t="s">
        <v>50</v>
      </c>
      <c r="S87" t="s">
        <v>50</v>
      </c>
      <c r="T87" s="1">
        <v>13.603082819999999</v>
      </c>
      <c r="U87" s="1">
        <v>13.32034838</v>
      </c>
      <c r="V87" s="1">
        <v>0</v>
      </c>
      <c r="W87" s="1">
        <v>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s="1">
        <v>0.10416599999999999</v>
      </c>
      <c r="AH87" s="1">
        <v>0.3</v>
      </c>
      <c r="AI87" s="1">
        <v>0.05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367</v>
      </c>
      <c r="AQ87" s="1">
        <v>2246</v>
      </c>
      <c r="AR87" t="s">
        <v>70</v>
      </c>
    </row>
    <row r="88" spans="1:44">
      <c r="A88" s="1">
        <v>32119</v>
      </c>
      <c r="B88" s="1">
        <v>38222</v>
      </c>
      <c r="C88" s="1">
        <v>31447</v>
      </c>
      <c r="D88" t="s">
        <v>368</v>
      </c>
      <c r="E88" t="s">
        <v>369</v>
      </c>
      <c r="F88" t="str">
        <f>VLOOKUP(E88,Tabela2[#All],2,FALSE)</f>
        <v>LUVA</v>
      </c>
      <c r="G88" t="s">
        <v>370</v>
      </c>
      <c r="H88" s="1">
        <v>4.29</v>
      </c>
      <c r="I88" s="1">
        <v>4.29</v>
      </c>
      <c r="J88" t="s">
        <v>46</v>
      </c>
      <c r="K88" s="1">
        <v>59.737403</v>
      </c>
      <c r="L88" s="1">
        <v>2</v>
      </c>
      <c r="M88" s="1">
        <v>14.547000000000001</v>
      </c>
      <c r="N88" s="1">
        <v>32958</v>
      </c>
      <c r="O88" t="s">
        <v>81</v>
      </c>
      <c r="P88" t="s">
        <v>256</v>
      </c>
      <c r="Q88" t="s">
        <v>49</v>
      </c>
      <c r="R88" t="s">
        <v>50</v>
      </c>
      <c r="S88" t="s">
        <v>50</v>
      </c>
      <c r="T88" s="1">
        <v>61.261249509999999</v>
      </c>
      <c r="U88" s="1">
        <v>39.231330980000003</v>
      </c>
      <c r="V88" s="1">
        <v>0</v>
      </c>
      <c r="W88" s="1">
        <v>5.0833925999999998</v>
      </c>
      <c r="X88" t="s">
        <v>50</v>
      </c>
      <c r="Y88" s="1">
        <v>0.3125</v>
      </c>
      <c r="Z88" t="s">
        <v>50</v>
      </c>
      <c r="AA88" t="s">
        <v>50</v>
      </c>
      <c r="AB88" t="s">
        <v>50</v>
      </c>
      <c r="AC88" s="1">
        <v>2</v>
      </c>
      <c r="AD88" t="s">
        <v>50</v>
      </c>
      <c r="AE88" s="1">
        <v>0.86</v>
      </c>
      <c r="AF88" s="1">
        <v>0.50009999999999999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369</v>
      </c>
      <c r="AQ88" s="1">
        <v>1647</v>
      </c>
      <c r="AR88" t="s">
        <v>51</v>
      </c>
    </row>
    <row r="89" spans="1:44">
      <c r="A89" s="1">
        <v>32877</v>
      </c>
      <c r="B89" s="1">
        <v>38677</v>
      </c>
      <c r="C89" s="1">
        <v>32215</v>
      </c>
      <c r="D89" t="s">
        <v>371</v>
      </c>
      <c r="E89" t="s">
        <v>372</v>
      </c>
      <c r="F89" t="str">
        <f>VLOOKUP(E89,Tabela2[#All],2,FALSE)</f>
        <v>SAPATÃO</v>
      </c>
      <c r="G89" t="s">
        <v>373</v>
      </c>
      <c r="H89" s="1">
        <v>6.24</v>
      </c>
      <c r="I89" s="1">
        <v>6.24</v>
      </c>
      <c r="J89" t="s">
        <v>46</v>
      </c>
      <c r="K89" s="1">
        <v>52.440067999999997</v>
      </c>
      <c r="L89" s="1">
        <v>1</v>
      </c>
      <c r="M89" s="1">
        <v>11.68</v>
      </c>
      <c r="N89" s="1">
        <v>32958</v>
      </c>
      <c r="O89" t="s">
        <v>81</v>
      </c>
      <c r="P89" t="s">
        <v>256</v>
      </c>
      <c r="Q89" t="s">
        <v>49</v>
      </c>
      <c r="R89" t="s">
        <v>50</v>
      </c>
      <c r="S89" t="s">
        <v>50</v>
      </c>
      <c r="T89" s="1">
        <v>67.438201449999994</v>
      </c>
      <c r="U89" s="1">
        <v>47.601487489999997</v>
      </c>
      <c r="V89" s="1">
        <v>0</v>
      </c>
      <c r="W89" s="1">
        <v>7.3940256</v>
      </c>
      <c r="X89" t="s">
        <v>50</v>
      </c>
      <c r="Y89" s="1">
        <v>0.48570000000000002</v>
      </c>
      <c r="Z89" s="1">
        <v>0.23369999999999999</v>
      </c>
      <c r="AA89" t="s">
        <v>50</v>
      </c>
      <c r="AB89" t="s">
        <v>50</v>
      </c>
      <c r="AC89" s="1">
        <v>1.8748</v>
      </c>
      <c r="AD89" t="s">
        <v>50</v>
      </c>
      <c r="AE89" s="1">
        <v>0.31569999999999998</v>
      </c>
      <c r="AF89" s="1">
        <v>0.81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374</v>
      </c>
      <c r="AQ89" s="1">
        <v>5027</v>
      </c>
      <c r="AR89" t="s">
        <v>51</v>
      </c>
    </row>
    <row r="90" spans="1:44">
      <c r="A90" s="1">
        <v>32887</v>
      </c>
      <c r="B90" s="1">
        <v>38484</v>
      </c>
      <c r="C90" s="1">
        <v>32225</v>
      </c>
      <c r="D90" t="s">
        <v>375</v>
      </c>
      <c r="E90" t="s">
        <v>376</v>
      </c>
      <c r="F90" t="str">
        <f>VLOOKUP(E90,Tabela2[#All],2,FALSE)</f>
        <v>RODINHA</v>
      </c>
      <c r="G90" t="s">
        <v>377</v>
      </c>
      <c r="H90" s="1">
        <v>2.98</v>
      </c>
      <c r="I90" s="1">
        <v>2.98</v>
      </c>
      <c r="J90" t="s">
        <v>46</v>
      </c>
      <c r="K90" s="1">
        <v>57.722929999999998</v>
      </c>
      <c r="L90" s="1">
        <v>2</v>
      </c>
      <c r="M90" s="1">
        <v>12.56</v>
      </c>
      <c r="N90" s="1">
        <v>32958</v>
      </c>
      <c r="O90" t="s">
        <v>81</v>
      </c>
      <c r="P90" t="s">
        <v>256</v>
      </c>
      <c r="Q90" t="s">
        <v>49</v>
      </c>
      <c r="R90" t="s">
        <v>50</v>
      </c>
      <c r="S90" t="s">
        <v>50</v>
      </c>
      <c r="T90" s="1">
        <v>34.026704840000001</v>
      </c>
      <c r="U90" s="1">
        <v>22.520901439999999</v>
      </c>
      <c r="V90" s="1">
        <v>0</v>
      </c>
      <c r="W90" s="1">
        <v>3.5311211999999998</v>
      </c>
      <c r="X90" t="s">
        <v>50</v>
      </c>
      <c r="Y90" s="1">
        <v>0.1547</v>
      </c>
      <c r="Z90" s="1">
        <v>0.4</v>
      </c>
      <c r="AA90" s="1">
        <v>1.1759999999999999</v>
      </c>
      <c r="AB90" t="s">
        <v>50</v>
      </c>
      <c r="AC90" s="1">
        <v>0.32240000000000002</v>
      </c>
      <c r="AD90" t="s">
        <v>50</v>
      </c>
      <c r="AE90" s="1">
        <v>0.25840000000000002</v>
      </c>
      <c r="AF90" s="1">
        <v>0.375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378</v>
      </c>
      <c r="AQ90" s="1">
        <v>5089</v>
      </c>
      <c r="AR90" t="s">
        <v>51</v>
      </c>
    </row>
    <row r="91" spans="1:44">
      <c r="A91" s="1">
        <v>32881</v>
      </c>
      <c r="B91" s="1">
        <v>38485</v>
      </c>
      <c r="C91" s="1">
        <v>32219</v>
      </c>
      <c r="D91" t="s">
        <v>379</v>
      </c>
      <c r="E91" t="s">
        <v>380</v>
      </c>
      <c r="F91" t="str">
        <f>VLOOKUP(E91,Tabela2[#All],2,FALSE)</f>
        <v>RODINHA</v>
      </c>
      <c r="G91" t="s">
        <v>381</v>
      </c>
      <c r="H91" s="1">
        <v>2.86</v>
      </c>
      <c r="I91" s="1">
        <v>2.86</v>
      </c>
      <c r="J91" t="s">
        <v>46</v>
      </c>
      <c r="K91" s="1">
        <v>44.957265</v>
      </c>
      <c r="L91" s="1">
        <v>2</v>
      </c>
      <c r="M91" s="1">
        <v>12.87</v>
      </c>
      <c r="N91" s="1">
        <v>32958</v>
      </c>
      <c r="O91" t="s">
        <v>81</v>
      </c>
      <c r="P91" t="s">
        <v>256</v>
      </c>
      <c r="Q91" t="s">
        <v>49</v>
      </c>
      <c r="R91" t="s">
        <v>50</v>
      </c>
      <c r="S91" t="s">
        <v>50</v>
      </c>
      <c r="T91" s="1">
        <v>32.941113209999997</v>
      </c>
      <c r="U91" s="1">
        <v>22.73280682</v>
      </c>
      <c r="V91" s="1">
        <v>0</v>
      </c>
      <c r="W91" s="1">
        <v>3.3889284000000002</v>
      </c>
      <c r="X91" t="s">
        <v>50</v>
      </c>
      <c r="Y91" s="1">
        <v>0.1547</v>
      </c>
      <c r="Z91" s="1">
        <v>0.4</v>
      </c>
      <c r="AA91" s="1">
        <v>1.1759999999999999</v>
      </c>
      <c r="AB91" t="s">
        <v>50</v>
      </c>
      <c r="AC91" s="1">
        <v>0.32240000000000002</v>
      </c>
      <c r="AD91" t="s">
        <v>50</v>
      </c>
      <c r="AE91" s="1">
        <v>0.25840000000000002</v>
      </c>
      <c r="AF91" s="1">
        <v>0.40500000000000003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382</v>
      </c>
      <c r="AQ91" s="1">
        <v>5088</v>
      </c>
      <c r="AR91" t="s">
        <v>51</v>
      </c>
    </row>
    <row r="92" spans="1:44">
      <c r="A92" s="1">
        <v>42023</v>
      </c>
      <c r="B92" s="1">
        <v>42024</v>
      </c>
      <c r="C92" s="1">
        <v>37212</v>
      </c>
      <c r="D92" t="s">
        <v>383</v>
      </c>
      <c r="E92" t="s">
        <v>384</v>
      </c>
      <c r="F92" t="str">
        <f>VLOOKUP(E92,Tabela2[#All],2,FALSE)</f>
        <v>Válvula Nível 6</v>
      </c>
      <c r="G92" t="s">
        <v>385</v>
      </c>
      <c r="H92" s="1">
        <v>0.38700000000000001</v>
      </c>
      <c r="I92" s="1">
        <v>0.38700000000000001</v>
      </c>
      <c r="J92" t="s">
        <v>65</v>
      </c>
      <c r="K92" s="1">
        <v>64.999740000000003</v>
      </c>
      <c r="L92" s="1">
        <v>16.666599999999999</v>
      </c>
      <c r="M92" s="1">
        <v>10</v>
      </c>
      <c r="N92" s="1">
        <v>36449</v>
      </c>
      <c r="O92" t="s">
        <v>336</v>
      </c>
      <c r="P92" t="s">
        <v>349</v>
      </c>
      <c r="Q92" t="s">
        <v>350</v>
      </c>
      <c r="R92" t="s">
        <v>50</v>
      </c>
      <c r="S92" t="s">
        <v>50</v>
      </c>
      <c r="T92" s="1">
        <v>6.7982751099999996</v>
      </c>
      <c r="U92" s="1">
        <v>6.7511522800000003</v>
      </c>
      <c r="V92" s="1">
        <v>0</v>
      </c>
      <c r="W92" s="1">
        <v>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s="1">
        <v>0.04</v>
      </c>
      <c r="AH92" s="1">
        <v>0.5</v>
      </c>
      <c r="AI92" s="1">
        <v>0.03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386</v>
      </c>
      <c r="AQ92" s="1">
        <v>2245</v>
      </c>
      <c r="AR92" t="s">
        <v>70</v>
      </c>
    </row>
    <row r="93" spans="1:44">
      <c r="A93" s="1">
        <v>42021</v>
      </c>
      <c r="B93" s="1">
        <v>42022</v>
      </c>
      <c r="C93" s="1">
        <v>37210</v>
      </c>
      <c r="D93" t="s">
        <v>387</v>
      </c>
      <c r="E93" t="s">
        <v>388</v>
      </c>
      <c r="F93" t="str">
        <f>VLOOKUP(E93,Tabela2[#All],2,FALSE)</f>
        <v>Válvula Nível 6</v>
      </c>
      <c r="G93" t="s">
        <v>389</v>
      </c>
      <c r="H93" s="1">
        <v>0.56000000000000005</v>
      </c>
      <c r="I93" s="1">
        <v>0.56000000000000005</v>
      </c>
      <c r="J93" t="s">
        <v>65</v>
      </c>
      <c r="K93" s="1">
        <v>65.507244999999998</v>
      </c>
      <c r="L93" s="1">
        <v>13.333333</v>
      </c>
      <c r="M93" s="1">
        <v>11.5</v>
      </c>
      <c r="N93" s="1">
        <v>36449</v>
      </c>
      <c r="O93" t="s">
        <v>336</v>
      </c>
      <c r="P93" t="s">
        <v>349</v>
      </c>
      <c r="Q93" t="s">
        <v>350</v>
      </c>
      <c r="R93" t="s">
        <v>50</v>
      </c>
      <c r="S93" t="s">
        <v>50</v>
      </c>
      <c r="T93" s="1">
        <v>7.0842940800000003</v>
      </c>
      <c r="U93" s="1">
        <v>7.0136106800000002</v>
      </c>
      <c r="V93" s="1">
        <v>0</v>
      </c>
      <c r="W93" s="1">
        <v>0</v>
      </c>
      <c r="X93" t="s">
        <v>50</v>
      </c>
      <c r="Y93" t="s">
        <v>50</v>
      </c>
      <c r="Z93" t="s">
        <v>50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s="1">
        <v>0.04</v>
      </c>
      <c r="AH93" s="1">
        <v>0.5</v>
      </c>
      <c r="AI93" s="1">
        <v>2.75E-2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390</v>
      </c>
      <c r="AQ93" s="1">
        <v>2240</v>
      </c>
      <c r="AR93" t="s">
        <v>70</v>
      </c>
    </row>
    <row r="94" spans="1:44">
      <c r="A94" s="1">
        <v>42181</v>
      </c>
      <c r="B94" s="1">
        <v>42182</v>
      </c>
      <c r="C94" s="1">
        <v>37318</v>
      </c>
      <c r="D94" t="s">
        <v>391</v>
      </c>
      <c r="E94" t="s">
        <v>392</v>
      </c>
      <c r="F94" t="str">
        <f>VLOOKUP(E94,Tabela2[#All],2,FALSE)</f>
        <v>Válvula Nível 6</v>
      </c>
      <c r="G94" t="s">
        <v>393</v>
      </c>
      <c r="H94" s="1">
        <v>0.37</v>
      </c>
      <c r="I94" s="1">
        <v>0.37</v>
      </c>
      <c r="J94" t="s">
        <v>65</v>
      </c>
      <c r="K94" s="1">
        <v>68.566666999999995</v>
      </c>
      <c r="L94" s="1">
        <v>20.57</v>
      </c>
      <c r="M94" s="1">
        <v>12</v>
      </c>
      <c r="N94" s="1">
        <v>36449</v>
      </c>
      <c r="O94" t="s">
        <v>336</v>
      </c>
      <c r="P94" t="s">
        <v>349</v>
      </c>
      <c r="Q94" t="s">
        <v>350</v>
      </c>
      <c r="R94" t="s">
        <v>50</v>
      </c>
      <c r="S94" t="s">
        <v>50</v>
      </c>
      <c r="T94" s="1">
        <v>4.5160490199999996</v>
      </c>
      <c r="U94" s="1">
        <v>4.4736388099999997</v>
      </c>
      <c r="V94" s="1">
        <v>0</v>
      </c>
      <c r="W94" s="1">
        <v>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s="1">
        <v>3.4700000000000002E-2</v>
      </c>
      <c r="AH94" s="1">
        <v>0.26079999999999998</v>
      </c>
      <c r="AI94" s="1">
        <v>0.02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394</v>
      </c>
      <c r="AQ94" s="1">
        <v>3305</v>
      </c>
      <c r="AR94" t="s">
        <v>70</v>
      </c>
    </row>
    <row r="95" spans="1:44">
      <c r="A95" s="1">
        <v>31688</v>
      </c>
      <c r="B95" s="1">
        <v>38050</v>
      </c>
      <c r="C95" s="1">
        <v>31028</v>
      </c>
      <c r="D95" t="s">
        <v>395</v>
      </c>
      <c r="E95" t="s">
        <v>396</v>
      </c>
      <c r="F95" t="str">
        <f>VLOOKUP(E95,Tabela2[#All],2,FALSE)</f>
        <v>COELHO</v>
      </c>
      <c r="G95" t="s">
        <v>397</v>
      </c>
      <c r="H95" s="1">
        <v>1.0069999999999999</v>
      </c>
      <c r="I95" s="1">
        <v>1.0069999999999999</v>
      </c>
      <c r="J95" t="s">
        <v>46</v>
      </c>
      <c r="K95" s="1">
        <v>43.527205000000002</v>
      </c>
      <c r="L95" s="1">
        <v>6</v>
      </c>
      <c r="M95" s="1">
        <v>14.391</v>
      </c>
      <c r="N95" s="1">
        <v>32958</v>
      </c>
      <c r="O95" t="s">
        <v>81</v>
      </c>
      <c r="P95" t="s">
        <v>256</v>
      </c>
      <c r="Q95" t="s">
        <v>49</v>
      </c>
      <c r="R95" t="s">
        <v>50</v>
      </c>
      <c r="S95" t="s">
        <v>50</v>
      </c>
      <c r="T95" s="1">
        <v>17.852731479999999</v>
      </c>
      <c r="U95" s="1">
        <v>11.63740797</v>
      </c>
      <c r="V95" s="1">
        <v>0</v>
      </c>
      <c r="W95" s="1">
        <v>1.1932345799999999</v>
      </c>
      <c r="X95" s="1">
        <v>0.2</v>
      </c>
      <c r="Y95" s="1">
        <v>3.7999999999999999E-2</v>
      </c>
      <c r="Z95" s="1">
        <v>0.4</v>
      </c>
      <c r="AA95" t="s">
        <v>50</v>
      </c>
      <c r="AB95" t="s">
        <v>50</v>
      </c>
      <c r="AC95" s="1">
        <v>0.45240000000000002</v>
      </c>
      <c r="AD95" t="s">
        <v>50</v>
      </c>
      <c r="AE95" s="1">
        <v>0.1356</v>
      </c>
      <c r="AF95" s="1">
        <v>0.16361999999999999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398</v>
      </c>
      <c r="AQ95" s="1">
        <v>1230</v>
      </c>
      <c r="AR95" t="s">
        <v>399</v>
      </c>
    </row>
    <row r="96" spans="1:44">
      <c r="A96" s="1">
        <v>31688</v>
      </c>
      <c r="B96" s="1">
        <v>38050</v>
      </c>
      <c r="C96" s="1">
        <v>31028</v>
      </c>
      <c r="D96" t="s">
        <v>395</v>
      </c>
      <c r="E96" t="s">
        <v>396</v>
      </c>
      <c r="F96" t="str">
        <f>VLOOKUP(E96,Tabela2[#All],2,FALSE)</f>
        <v>COELHO</v>
      </c>
      <c r="G96" t="s">
        <v>400</v>
      </c>
      <c r="H96" s="1">
        <v>1.0069999999999999</v>
      </c>
      <c r="I96" s="1">
        <v>1.0069999999999999</v>
      </c>
      <c r="J96" t="s">
        <v>46</v>
      </c>
      <c r="K96" s="1">
        <v>45.093296000000002</v>
      </c>
      <c r="L96" s="1">
        <v>5</v>
      </c>
      <c r="M96" s="1">
        <v>11.576000000000001</v>
      </c>
      <c r="N96" s="1">
        <v>32958</v>
      </c>
      <c r="O96" t="s">
        <v>81</v>
      </c>
      <c r="P96" t="s">
        <v>256</v>
      </c>
      <c r="Q96" t="s">
        <v>49</v>
      </c>
      <c r="R96" t="s">
        <v>50</v>
      </c>
      <c r="S96" t="s">
        <v>50</v>
      </c>
      <c r="T96" s="1">
        <v>17.852731479999999</v>
      </c>
      <c r="U96" s="1">
        <v>11.63740797</v>
      </c>
      <c r="V96" s="1">
        <v>0</v>
      </c>
      <c r="W96" s="1">
        <v>1.1932345799999999</v>
      </c>
      <c r="X96" s="1">
        <v>0.2</v>
      </c>
      <c r="Y96" s="1">
        <v>3.7999999999999999E-2</v>
      </c>
      <c r="Z96" s="1">
        <v>0.4</v>
      </c>
      <c r="AA96" t="s">
        <v>50</v>
      </c>
      <c r="AB96" t="s">
        <v>50</v>
      </c>
      <c r="AC96" s="1">
        <v>0.45240000000000002</v>
      </c>
      <c r="AD96" t="s">
        <v>50</v>
      </c>
      <c r="AE96" s="1">
        <v>0.1356</v>
      </c>
      <c r="AF96" s="1">
        <v>0.16361999999999999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396</v>
      </c>
      <c r="AQ96" s="1">
        <v>1229</v>
      </c>
      <c r="AR96" t="s">
        <v>51</v>
      </c>
    </row>
    <row r="97" spans="1:44">
      <c r="A97" s="1">
        <v>31686</v>
      </c>
      <c r="B97" s="1">
        <v>38741</v>
      </c>
      <c r="C97" s="1">
        <v>31026</v>
      </c>
      <c r="D97" t="s">
        <v>401</v>
      </c>
      <c r="E97" t="s">
        <v>402</v>
      </c>
      <c r="F97" t="str">
        <f>VLOOKUP(E97,Tabela2[#All],2,FALSE)</f>
        <v>GANSO</v>
      </c>
      <c r="G97" t="s">
        <v>403</v>
      </c>
      <c r="H97" s="1">
        <v>1.25</v>
      </c>
      <c r="I97" s="1">
        <v>1.25</v>
      </c>
      <c r="J97" t="s">
        <v>46</v>
      </c>
      <c r="K97" s="1">
        <v>55.913978</v>
      </c>
      <c r="L97" s="1">
        <v>4</v>
      </c>
      <c r="M97" s="1">
        <v>9.3000000000000007</v>
      </c>
      <c r="N97" s="1">
        <v>32958</v>
      </c>
      <c r="O97" t="s">
        <v>81</v>
      </c>
      <c r="P97" t="s">
        <v>256</v>
      </c>
      <c r="Q97" t="s">
        <v>49</v>
      </c>
      <c r="R97" t="s">
        <v>50</v>
      </c>
      <c r="S97" s="1">
        <v>0.66100000000000003</v>
      </c>
      <c r="T97" s="1">
        <v>21.63593479</v>
      </c>
      <c r="U97" s="1">
        <v>13.517566459999999</v>
      </c>
      <c r="V97" s="1">
        <v>0</v>
      </c>
      <c r="W97" s="1">
        <v>1.4811749999999999</v>
      </c>
      <c r="X97" s="1">
        <v>0.3</v>
      </c>
      <c r="Y97" s="1">
        <v>8.5699999999999998E-2</v>
      </c>
      <c r="Z97" s="1">
        <v>0.73460000000000003</v>
      </c>
      <c r="AA97" t="s">
        <v>50</v>
      </c>
      <c r="AB97" t="s">
        <v>50</v>
      </c>
      <c r="AC97" s="1">
        <v>0.5</v>
      </c>
      <c r="AD97" t="s">
        <v>50</v>
      </c>
      <c r="AE97" s="1">
        <v>0.1111</v>
      </c>
      <c r="AF97" s="1">
        <v>0.24990000000000001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402</v>
      </c>
      <c r="AQ97" s="1">
        <v>1231</v>
      </c>
      <c r="AR97" t="s">
        <v>51</v>
      </c>
    </row>
    <row r="98" spans="1:44">
      <c r="A98" s="1">
        <v>31686</v>
      </c>
      <c r="B98" s="1">
        <v>38741</v>
      </c>
      <c r="C98" s="1">
        <v>31026</v>
      </c>
      <c r="D98" t="s">
        <v>401</v>
      </c>
      <c r="E98" t="s">
        <v>402</v>
      </c>
      <c r="F98" t="str">
        <f>VLOOKUP(E98,Tabela2[#All],2,FALSE)</f>
        <v>GANSO</v>
      </c>
      <c r="G98" t="s">
        <v>404</v>
      </c>
      <c r="H98" s="1">
        <v>1.25</v>
      </c>
      <c r="I98" s="1">
        <v>1.25</v>
      </c>
      <c r="J98" t="s">
        <v>46</v>
      </c>
      <c r="K98" s="1">
        <v>48.689138999999997</v>
      </c>
      <c r="L98" s="1">
        <v>4</v>
      </c>
      <c r="M98" s="1">
        <v>10.68</v>
      </c>
      <c r="N98" s="1">
        <v>32958</v>
      </c>
      <c r="O98" t="s">
        <v>81</v>
      </c>
      <c r="P98" t="s">
        <v>256</v>
      </c>
      <c r="Q98" t="s">
        <v>49</v>
      </c>
      <c r="R98" t="s">
        <v>50</v>
      </c>
      <c r="S98" s="1">
        <v>0.66100000000000003</v>
      </c>
      <c r="T98" s="1">
        <v>21.63593479</v>
      </c>
      <c r="U98" s="1">
        <v>13.517566459999999</v>
      </c>
      <c r="V98" s="1">
        <v>0</v>
      </c>
      <c r="W98" s="1">
        <v>1.4811749999999999</v>
      </c>
      <c r="X98" s="1">
        <v>0.3</v>
      </c>
      <c r="Y98" s="1">
        <v>8.5699999999999998E-2</v>
      </c>
      <c r="Z98" s="1">
        <v>0.73460000000000003</v>
      </c>
      <c r="AA98" t="s">
        <v>50</v>
      </c>
      <c r="AB98" t="s">
        <v>50</v>
      </c>
      <c r="AC98" s="1">
        <v>0.5</v>
      </c>
      <c r="AD98" t="s">
        <v>50</v>
      </c>
      <c r="AE98" s="1">
        <v>0.1111</v>
      </c>
      <c r="AF98" s="1">
        <v>0.24990000000000001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398</v>
      </c>
      <c r="AQ98" s="1">
        <v>1232</v>
      </c>
      <c r="AR98" t="s">
        <v>399</v>
      </c>
    </row>
    <row r="99" spans="1:44">
      <c r="A99" s="1">
        <v>31410</v>
      </c>
      <c r="B99" s="1">
        <v>39045</v>
      </c>
      <c r="C99" s="1">
        <v>30746</v>
      </c>
      <c r="D99" t="s">
        <v>405</v>
      </c>
      <c r="E99" t="s">
        <v>406</v>
      </c>
      <c r="F99" t="str">
        <f>VLOOKUP(E99,Tabela2[#All],2,FALSE)</f>
        <v>RODINHA</v>
      </c>
      <c r="G99" t="s">
        <v>407</v>
      </c>
      <c r="H99" s="1">
        <v>1.147</v>
      </c>
      <c r="I99" s="1">
        <v>1.147</v>
      </c>
      <c r="J99" t="s">
        <v>46</v>
      </c>
      <c r="K99" s="1">
        <v>51.20308</v>
      </c>
      <c r="L99" s="1">
        <v>4</v>
      </c>
      <c r="M99" s="1">
        <v>10.39</v>
      </c>
      <c r="N99" s="1">
        <v>32958</v>
      </c>
      <c r="O99" t="s">
        <v>81</v>
      </c>
      <c r="P99" t="s">
        <v>256</v>
      </c>
      <c r="Q99" t="s">
        <v>49</v>
      </c>
      <c r="R99" t="s">
        <v>50</v>
      </c>
      <c r="S99" t="s">
        <v>50</v>
      </c>
      <c r="T99" s="1">
        <v>17.184967610000001</v>
      </c>
      <c r="U99" s="1">
        <v>10.099506679999999</v>
      </c>
      <c r="V99" s="1">
        <v>0</v>
      </c>
      <c r="W99" s="1">
        <v>1.3591261800000001</v>
      </c>
      <c r="X99" t="s">
        <v>50</v>
      </c>
      <c r="Y99" s="1">
        <v>8.5599999999999996E-2</v>
      </c>
      <c r="Z99" s="1">
        <v>0.35499999999999998</v>
      </c>
      <c r="AA99" s="1">
        <v>0.75</v>
      </c>
      <c r="AB99" t="s">
        <v>50</v>
      </c>
      <c r="AC99" s="1">
        <v>0.43840000000000001</v>
      </c>
      <c r="AD99" t="s">
        <v>50</v>
      </c>
      <c r="AE99" s="1">
        <v>0.06</v>
      </c>
      <c r="AF99" s="1">
        <v>0.1875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406</v>
      </c>
      <c r="AQ99" s="1">
        <v>1654</v>
      </c>
      <c r="AR99" t="s">
        <v>51</v>
      </c>
    </row>
    <row r="100" spans="1:44">
      <c r="A100" s="1">
        <v>120962</v>
      </c>
      <c r="B100" s="1">
        <v>62498</v>
      </c>
      <c r="C100" s="1">
        <v>56550</v>
      </c>
      <c r="D100" t="s">
        <v>408</v>
      </c>
      <c r="E100" t="s">
        <v>409</v>
      </c>
      <c r="F100" t="str">
        <f>VLOOKUP(E100,Tabela2[#All],2,FALSE)</f>
        <v>Válvula Nível 3</v>
      </c>
      <c r="G100" t="s">
        <v>411</v>
      </c>
      <c r="H100" s="1">
        <v>6.57</v>
      </c>
      <c r="I100" s="1">
        <v>6.57</v>
      </c>
      <c r="J100" t="s">
        <v>65</v>
      </c>
      <c r="K100" s="1">
        <v>75.807692000000003</v>
      </c>
      <c r="L100" s="1">
        <v>1.5</v>
      </c>
      <c r="M100" s="1">
        <v>13</v>
      </c>
      <c r="N100" s="1">
        <v>36446</v>
      </c>
      <c r="O100" t="s">
        <v>119</v>
      </c>
      <c r="P100" t="s">
        <v>410</v>
      </c>
      <c r="Q100" t="s">
        <v>68</v>
      </c>
      <c r="R100" s="1">
        <v>0.39</v>
      </c>
      <c r="S100" t="s">
        <v>50</v>
      </c>
      <c r="T100" s="1">
        <v>68.728072760000003</v>
      </c>
      <c r="U100" s="1">
        <v>68.728072760000003</v>
      </c>
      <c r="V100" s="1">
        <v>0</v>
      </c>
      <c r="W100" s="1">
        <v>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1">
        <v>0.5</v>
      </c>
      <c r="AH100" s="1">
        <v>1.6439999999999999</v>
      </c>
      <c r="AI100" s="1">
        <v>0.192</v>
      </c>
      <c r="AJ100" t="s">
        <v>50</v>
      </c>
      <c r="AK100" t="s">
        <v>50</v>
      </c>
      <c r="AL100" t="s">
        <v>50</v>
      </c>
      <c r="AM100" t="s">
        <v>50</v>
      </c>
      <c r="AN100" s="1">
        <v>5.4</v>
      </c>
      <c r="AO100" t="s">
        <v>50</v>
      </c>
      <c r="AP100" t="s">
        <v>412</v>
      </c>
      <c r="AQ100" s="1">
        <v>4748</v>
      </c>
      <c r="AR100" t="s">
        <v>70</v>
      </c>
    </row>
    <row r="101" spans="1:44">
      <c r="A101" s="1">
        <v>73177</v>
      </c>
      <c r="B101" s="1">
        <v>73178</v>
      </c>
      <c r="C101" s="1">
        <v>66130</v>
      </c>
      <c r="D101" t="s">
        <v>415</v>
      </c>
      <c r="E101" t="s">
        <v>416</v>
      </c>
      <c r="F101" t="str">
        <f>VLOOKUP(E101,Tabela2[#All],2,FALSE)</f>
        <v>Válvula Nível 3</v>
      </c>
      <c r="G101" t="s">
        <v>417</v>
      </c>
      <c r="H101" s="1">
        <v>2.72</v>
      </c>
      <c r="I101" s="1">
        <v>2.72</v>
      </c>
      <c r="J101" t="s">
        <v>65</v>
      </c>
      <c r="K101" s="1">
        <v>73.190022999999997</v>
      </c>
      <c r="L101" s="1">
        <v>3.3333330000000001</v>
      </c>
      <c r="M101" s="1">
        <v>15.166</v>
      </c>
      <c r="N101" s="1">
        <v>36446</v>
      </c>
      <c r="O101" t="s">
        <v>119</v>
      </c>
      <c r="P101" t="s">
        <v>341</v>
      </c>
      <c r="Q101" t="s">
        <v>68</v>
      </c>
      <c r="R101" s="1">
        <v>0.25</v>
      </c>
      <c r="S101" t="s">
        <v>50</v>
      </c>
      <c r="T101" s="1">
        <v>104.09832615000001</v>
      </c>
      <c r="U101" s="1">
        <v>44.226567420000002</v>
      </c>
      <c r="V101" s="1">
        <v>0</v>
      </c>
      <c r="W101" s="1">
        <v>0</v>
      </c>
      <c r="X101" t="s">
        <v>50</v>
      </c>
      <c r="Y101" t="s">
        <v>50</v>
      </c>
      <c r="Z101" t="s">
        <v>50</v>
      </c>
      <c r="AA101" t="s">
        <v>50</v>
      </c>
      <c r="AB101" s="1">
        <v>15.78</v>
      </c>
      <c r="AC101" t="s">
        <v>50</v>
      </c>
      <c r="AD101" t="s">
        <v>50</v>
      </c>
      <c r="AE101" t="s">
        <v>50</v>
      </c>
      <c r="AF101" t="s">
        <v>50</v>
      </c>
      <c r="AG101" s="1">
        <v>0.2</v>
      </c>
      <c r="AH101" t="s">
        <v>50</v>
      </c>
      <c r="AI101" s="1">
        <v>4.5999999999999999E-2</v>
      </c>
      <c r="AJ101" t="s">
        <v>50</v>
      </c>
      <c r="AK101" t="s">
        <v>50</v>
      </c>
      <c r="AL101" t="s">
        <v>50</v>
      </c>
      <c r="AM101" t="s">
        <v>50</v>
      </c>
      <c r="AN101" s="1">
        <v>3.45</v>
      </c>
      <c r="AO101" t="s">
        <v>50</v>
      </c>
      <c r="AP101" t="s">
        <v>418</v>
      </c>
      <c r="AQ101" s="1">
        <v>6967</v>
      </c>
      <c r="AR101" t="s">
        <v>70</v>
      </c>
    </row>
    <row r="102" spans="1:44">
      <c r="A102" s="1">
        <v>73177</v>
      </c>
      <c r="B102" s="1">
        <v>73178</v>
      </c>
      <c r="C102" s="1">
        <v>66130</v>
      </c>
      <c r="D102" t="s">
        <v>415</v>
      </c>
      <c r="E102" t="s">
        <v>416</v>
      </c>
      <c r="F102" t="str">
        <f>VLOOKUP(E102,Tabela2[#All],2,FALSE)</f>
        <v>Válvula Nível 3</v>
      </c>
      <c r="G102" t="s">
        <v>417</v>
      </c>
      <c r="H102" s="1">
        <v>2.72</v>
      </c>
      <c r="I102" s="1">
        <v>2.72</v>
      </c>
      <c r="J102" t="s">
        <v>65</v>
      </c>
      <c r="K102" s="1">
        <v>73.190022999999997</v>
      </c>
      <c r="L102" s="1">
        <v>3.3333330000000001</v>
      </c>
      <c r="M102" s="1">
        <v>15.166</v>
      </c>
      <c r="N102" s="1">
        <v>36446</v>
      </c>
      <c r="O102" t="s">
        <v>119</v>
      </c>
      <c r="P102" t="s">
        <v>340</v>
      </c>
      <c r="Q102" t="s">
        <v>68</v>
      </c>
      <c r="R102" s="1">
        <v>0.25</v>
      </c>
      <c r="S102" t="s">
        <v>50</v>
      </c>
      <c r="T102" s="1">
        <v>104.09832615000001</v>
      </c>
      <c r="U102" s="1">
        <v>44.226567420000002</v>
      </c>
      <c r="V102" s="1">
        <v>0</v>
      </c>
      <c r="W102" s="1">
        <v>0</v>
      </c>
      <c r="X102" t="s">
        <v>50</v>
      </c>
      <c r="Y102" t="s">
        <v>50</v>
      </c>
      <c r="Z102" t="s">
        <v>50</v>
      </c>
      <c r="AA102" t="s">
        <v>50</v>
      </c>
      <c r="AB102" s="1">
        <v>15.78</v>
      </c>
      <c r="AC102" t="s">
        <v>50</v>
      </c>
      <c r="AD102" t="s">
        <v>50</v>
      </c>
      <c r="AE102" t="s">
        <v>50</v>
      </c>
      <c r="AF102" t="s">
        <v>50</v>
      </c>
      <c r="AG102" s="1">
        <v>0.2</v>
      </c>
      <c r="AH102" t="s">
        <v>50</v>
      </c>
      <c r="AI102" s="1">
        <v>4.5999999999999999E-2</v>
      </c>
      <c r="AJ102" t="s">
        <v>50</v>
      </c>
      <c r="AK102" t="s">
        <v>50</v>
      </c>
      <c r="AL102" t="s">
        <v>50</v>
      </c>
      <c r="AM102" t="s">
        <v>50</v>
      </c>
      <c r="AN102" s="1">
        <v>3.45</v>
      </c>
      <c r="AO102" t="s">
        <v>50</v>
      </c>
      <c r="AP102" t="s">
        <v>418</v>
      </c>
      <c r="AQ102" s="1">
        <v>6967</v>
      </c>
      <c r="AR102" t="s">
        <v>70</v>
      </c>
    </row>
    <row r="103" spans="1:44">
      <c r="A103" s="1">
        <v>73298</v>
      </c>
      <c r="B103" s="1">
        <v>73178</v>
      </c>
      <c r="C103" s="1">
        <v>66130</v>
      </c>
      <c r="D103" t="s">
        <v>419</v>
      </c>
      <c r="E103" t="s">
        <v>416</v>
      </c>
      <c r="F103" t="str">
        <f>VLOOKUP(E103,Tabela2[#All],2,FALSE)</f>
        <v>Válvula Nível 3</v>
      </c>
      <c r="G103" t="s">
        <v>417</v>
      </c>
      <c r="H103" s="1">
        <v>2.72</v>
      </c>
      <c r="I103" s="1">
        <v>2.72</v>
      </c>
      <c r="J103" t="s">
        <v>65</v>
      </c>
      <c r="K103" s="1">
        <v>73.190022999999997</v>
      </c>
      <c r="L103" s="1">
        <v>3.3333330000000001</v>
      </c>
      <c r="M103" s="1">
        <v>15.166</v>
      </c>
      <c r="N103" s="1">
        <v>36446</v>
      </c>
      <c r="O103" t="s">
        <v>119</v>
      </c>
      <c r="P103" t="s">
        <v>341</v>
      </c>
      <c r="Q103" t="s">
        <v>68</v>
      </c>
      <c r="R103" s="1">
        <v>0.25</v>
      </c>
      <c r="S103" t="s">
        <v>50</v>
      </c>
      <c r="T103" s="1">
        <v>103.01384615000001</v>
      </c>
      <c r="U103" s="1">
        <v>44.226567420000002</v>
      </c>
      <c r="V103" s="1">
        <v>0</v>
      </c>
      <c r="W103" s="1">
        <v>0</v>
      </c>
      <c r="X103" t="s">
        <v>50</v>
      </c>
      <c r="Y103" t="s">
        <v>50</v>
      </c>
      <c r="Z103" t="s">
        <v>50</v>
      </c>
      <c r="AA103" t="s">
        <v>50</v>
      </c>
      <c r="AB103" s="1">
        <v>16.18</v>
      </c>
      <c r="AC103" t="s">
        <v>50</v>
      </c>
      <c r="AD103" t="s">
        <v>50</v>
      </c>
      <c r="AE103" t="s">
        <v>50</v>
      </c>
      <c r="AF103" t="s">
        <v>50</v>
      </c>
      <c r="AG103" s="1">
        <v>0.2</v>
      </c>
      <c r="AH103" t="s">
        <v>50</v>
      </c>
      <c r="AI103" s="1">
        <v>4.5999999999999999E-2</v>
      </c>
      <c r="AJ103" t="s">
        <v>50</v>
      </c>
      <c r="AK103" t="s">
        <v>50</v>
      </c>
      <c r="AL103" t="s">
        <v>50</v>
      </c>
      <c r="AM103" t="s">
        <v>50</v>
      </c>
      <c r="AN103" s="1">
        <v>3.45</v>
      </c>
      <c r="AO103" t="s">
        <v>50</v>
      </c>
      <c r="AP103" t="s">
        <v>418</v>
      </c>
      <c r="AQ103" s="1">
        <v>6967</v>
      </c>
      <c r="AR103" t="s">
        <v>70</v>
      </c>
    </row>
    <row r="104" spans="1:44">
      <c r="A104" s="1">
        <v>73298</v>
      </c>
      <c r="B104" s="1">
        <v>73178</v>
      </c>
      <c r="C104" s="1">
        <v>66130</v>
      </c>
      <c r="D104" t="s">
        <v>419</v>
      </c>
      <c r="E104" t="s">
        <v>416</v>
      </c>
      <c r="F104" t="str">
        <f>VLOOKUP(E104,Tabela2[#All],2,FALSE)</f>
        <v>Válvula Nível 3</v>
      </c>
      <c r="G104" t="s">
        <v>417</v>
      </c>
      <c r="H104" s="1">
        <v>2.72</v>
      </c>
      <c r="I104" s="1">
        <v>2.72</v>
      </c>
      <c r="J104" t="s">
        <v>65</v>
      </c>
      <c r="K104" s="1">
        <v>73.190022999999997</v>
      </c>
      <c r="L104" s="1">
        <v>3.3333330000000001</v>
      </c>
      <c r="M104" s="1">
        <v>15.166</v>
      </c>
      <c r="N104" s="1">
        <v>36446</v>
      </c>
      <c r="O104" t="s">
        <v>119</v>
      </c>
      <c r="P104" t="s">
        <v>340</v>
      </c>
      <c r="Q104" t="s">
        <v>68</v>
      </c>
      <c r="R104" s="1">
        <v>0.25</v>
      </c>
      <c r="S104" t="s">
        <v>50</v>
      </c>
      <c r="T104" s="1">
        <v>103.01384615000001</v>
      </c>
      <c r="U104" s="1">
        <v>44.226567420000002</v>
      </c>
      <c r="V104" s="1">
        <v>0</v>
      </c>
      <c r="W104" s="1">
        <v>0</v>
      </c>
      <c r="X104" t="s">
        <v>50</v>
      </c>
      <c r="Y104" t="s">
        <v>50</v>
      </c>
      <c r="Z104" t="s">
        <v>50</v>
      </c>
      <c r="AA104" t="s">
        <v>50</v>
      </c>
      <c r="AB104" s="1">
        <v>16.18</v>
      </c>
      <c r="AC104" t="s">
        <v>50</v>
      </c>
      <c r="AD104" t="s">
        <v>50</v>
      </c>
      <c r="AE104" t="s">
        <v>50</v>
      </c>
      <c r="AF104" t="s">
        <v>50</v>
      </c>
      <c r="AG104" s="1">
        <v>0.2</v>
      </c>
      <c r="AH104" t="s">
        <v>50</v>
      </c>
      <c r="AI104" s="1">
        <v>4.5999999999999999E-2</v>
      </c>
      <c r="AJ104" t="s">
        <v>50</v>
      </c>
      <c r="AK104" t="s">
        <v>50</v>
      </c>
      <c r="AL104" t="s">
        <v>50</v>
      </c>
      <c r="AM104" t="s">
        <v>50</v>
      </c>
      <c r="AN104" s="1">
        <v>3.45</v>
      </c>
      <c r="AO104" t="s">
        <v>50</v>
      </c>
      <c r="AP104" t="s">
        <v>418</v>
      </c>
      <c r="AQ104" s="1">
        <v>6967</v>
      </c>
      <c r="AR104" t="s">
        <v>70</v>
      </c>
    </row>
    <row r="105" spans="1:44">
      <c r="A105" s="1">
        <v>57237</v>
      </c>
      <c r="B105" s="1">
        <v>57238</v>
      </c>
      <c r="C105" s="1">
        <v>51490</v>
      </c>
      <c r="D105" t="s">
        <v>420</v>
      </c>
      <c r="E105" t="s">
        <v>421</v>
      </c>
      <c r="F105" t="str">
        <f>VLOOKUP(E105,Tabela2[#All],2,FALSE)</f>
        <v>Válvula Nível 3</v>
      </c>
      <c r="G105" t="s">
        <v>422</v>
      </c>
      <c r="H105" s="1">
        <v>5.77</v>
      </c>
      <c r="I105" s="1">
        <v>5.77</v>
      </c>
      <c r="J105" t="s">
        <v>65</v>
      </c>
      <c r="K105" s="1">
        <v>74.594594999999998</v>
      </c>
      <c r="L105" s="1">
        <v>1.6</v>
      </c>
      <c r="M105" s="1">
        <v>14.8</v>
      </c>
      <c r="N105" s="1">
        <v>89565</v>
      </c>
      <c r="O105" t="s">
        <v>195</v>
      </c>
      <c r="P105" t="s">
        <v>341</v>
      </c>
      <c r="Q105" t="s">
        <v>68</v>
      </c>
      <c r="R105" s="1">
        <v>0.77800000000000002</v>
      </c>
      <c r="S105" t="s">
        <v>50</v>
      </c>
      <c r="T105" s="1">
        <v>189.38530399000001</v>
      </c>
      <c r="U105" s="1">
        <v>93.105700920000004</v>
      </c>
      <c r="V105" s="1">
        <v>0</v>
      </c>
      <c r="W105" s="1">
        <v>0</v>
      </c>
      <c r="X105" t="s">
        <v>50</v>
      </c>
      <c r="Y105" t="s">
        <v>50</v>
      </c>
      <c r="Z105" t="s">
        <v>50</v>
      </c>
      <c r="AA105" t="s">
        <v>50</v>
      </c>
      <c r="AB105" s="1">
        <v>26.19</v>
      </c>
      <c r="AC105" t="s">
        <v>50</v>
      </c>
      <c r="AD105" t="s">
        <v>50</v>
      </c>
      <c r="AE105" t="s">
        <v>50</v>
      </c>
      <c r="AF105" t="s">
        <v>50</v>
      </c>
      <c r="AG105" s="1">
        <v>0.625</v>
      </c>
      <c r="AH105" s="1">
        <v>1.05</v>
      </c>
      <c r="AI105" s="1">
        <v>0.3</v>
      </c>
      <c r="AJ105" t="s">
        <v>50</v>
      </c>
      <c r="AK105" t="s">
        <v>50</v>
      </c>
      <c r="AL105" t="s">
        <v>50</v>
      </c>
      <c r="AM105" t="s">
        <v>50</v>
      </c>
      <c r="AN105" s="1">
        <v>5.0999999999999996</v>
      </c>
      <c r="AO105" t="s">
        <v>50</v>
      </c>
      <c r="AP105" t="s">
        <v>423</v>
      </c>
      <c r="AQ105" s="1">
        <v>4087</v>
      </c>
      <c r="AR105" t="s">
        <v>70</v>
      </c>
    </row>
    <row r="106" spans="1:44">
      <c r="A106" s="1">
        <v>57237</v>
      </c>
      <c r="B106" s="1">
        <v>57238</v>
      </c>
      <c r="C106" s="1">
        <v>51490</v>
      </c>
      <c r="D106" t="s">
        <v>420</v>
      </c>
      <c r="E106" t="s">
        <v>421</v>
      </c>
      <c r="F106" t="str">
        <f>VLOOKUP(E106,Tabela2[#All],2,FALSE)</f>
        <v>Válvula Nível 3</v>
      </c>
      <c r="G106" t="s">
        <v>422</v>
      </c>
      <c r="H106" s="1">
        <v>5.77</v>
      </c>
      <c r="I106" s="1">
        <v>5.77</v>
      </c>
      <c r="J106" t="s">
        <v>65</v>
      </c>
      <c r="K106" s="1">
        <v>74.594594999999998</v>
      </c>
      <c r="L106" s="1">
        <v>1.6</v>
      </c>
      <c r="M106" s="1">
        <v>14.8</v>
      </c>
      <c r="N106" s="1">
        <v>89565</v>
      </c>
      <c r="O106" t="s">
        <v>195</v>
      </c>
      <c r="P106" t="s">
        <v>340</v>
      </c>
      <c r="Q106" t="s">
        <v>68</v>
      </c>
      <c r="R106" s="1">
        <v>0.77800000000000002</v>
      </c>
      <c r="S106" t="s">
        <v>50</v>
      </c>
      <c r="T106" s="1">
        <v>189.38530399000001</v>
      </c>
      <c r="U106" s="1">
        <v>93.105700920000004</v>
      </c>
      <c r="V106" s="1">
        <v>0</v>
      </c>
      <c r="W106" s="1">
        <v>0</v>
      </c>
      <c r="X106" t="s">
        <v>50</v>
      </c>
      <c r="Y106" t="s">
        <v>50</v>
      </c>
      <c r="Z106" t="s">
        <v>50</v>
      </c>
      <c r="AA106" t="s">
        <v>50</v>
      </c>
      <c r="AB106" s="1">
        <v>26.19</v>
      </c>
      <c r="AC106" t="s">
        <v>50</v>
      </c>
      <c r="AD106" t="s">
        <v>50</v>
      </c>
      <c r="AE106" t="s">
        <v>50</v>
      </c>
      <c r="AF106" t="s">
        <v>50</v>
      </c>
      <c r="AG106" s="1">
        <v>0.625</v>
      </c>
      <c r="AH106" s="1">
        <v>1.05</v>
      </c>
      <c r="AI106" s="1">
        <v>0.3</v>
      </c>
      <c r="AJ106" t="s">
        <v>50</v>
      </c>
      <c r="AK106" t="s">
        <v>50</v>
      </c>
      <c r="AL106" t="s">
        <v>50</v>
      </c>
      <c r="AM106" t="s">
        <v>50</v>
      </c>
      <c r="AN106" s="1">
        <v>5.0999999999999996</v>
      </c>
      <c r="AO106" t="s">
        <v>50</v>
      </c>
      <c r="AP106" t="s">
        <v>423</v>
      </c>
      <c r="AQ106" s="1">
        <v>4087</v>
      </c>
      <c r="AR106" t="s">
        <v>70</v>
      </c>
    </row>
    <row r="107" spans="1:44">
      <c r="A107" s="1">
        <v>57237</v>
      </c>
      <c r="B107" s="1">
        <v>57238</v>
      </c>
      <c r="C107" s="1">
        <v>51490</v>
      </c>
      <c r="D107" t="s">
        <v>420</v>
      </c>
      <c r="E107" t="s">
        <v>421</v>
      </c>
      <c r="F107" t="str">
        <f>VLOOKUP(E107,Tabela2[#All],2,FALSE)</f>
        <v>Válvula Nível 3</v>
      </c>
      <c r="G107" t="s">
        <v>422</v>
      </c>
      <c r="H107" s="1">
        <v>5.77</v>
      </c>
      <c r="I107" s="1">
        <v>5.77</v>
      </c>
      <c r="J107" t="s">
        <v>65</v>
      </c>
      <c r="K107" s="1">
        <v>74.594594999999998</v>
      </c>
      <c r="L107" s="1">
        <v>1.6</v>
      </c>
      <c r="M107" s="1">
        <v>14.8</v>
      </c>
      <c r="N107" s="1">
        <v>89565</v>
      </c>
      <c r="O107" t="s">
        <v>195</v>
      </c>
      <c r="P107" t="s">
        <v>344</v>
      </c>
      <c r="Q107" t="s">
        <v>68</v>
      </c>
      <c r="R107" s="1">
        <v>0.77800000000000002</v>
      </c>
      <c r="S107" t="s">
        <v>50</v>
      </c>
      <c r="T107" s="1">
        <v>189.38530399000001</v>
      </c>
      <c r="U107" s="1">
        <v>93.105700920000004</v>
      </c>
      <c r="V107" s="1">
        <v>0</v>
      </c>
      <c r="W107" s="1">
        <v>0</v>
      </c>
      <c r="X107" t="s">
        <v>50</v>
      </c>
      <c r="Y107" t="s">
        <v>50</v>
      </c>
      <c r="Z107" t="s">
        <v>50</v>
      </c>
      <c r="AA107" t="s">
        <v>50</v>
      </c>
      <c r="AB107" s="1">
        <v>26.19</v>
      </c>
      <c r="AC107" t="s">
        <v>50</v>
      </c>
      <c r="AD107" t="s">
        <v>50</v>
      </c>
      <c r="AE107" t="s">
        <v>50</v>
      </c>
      <c r="AF107" t="s">
        <v>50</v>
      </c>
      <c r="AG107" s="1">
        <v>0.625</v>
      </c>
      <c r="AH107" s="1">
        <v>1.05</v>
      </c>
      <c r="AI107" s="1">
        <v>0.3</v>
      </c>
      <c r="AJ107" t="s">
        <v>50</v>
      </c>
      <c r="AK107" t="s">
        <v>50</v>
      </c>
      <c r="AL107" t="s">
        <v>50</v>
      </c>
      <c r="AM107" t="s">
        <v>50</v>
      </c>
      <c r="AN107" s="1">
        <v>5.0999999999999996</v>
      </c>
      <c r="AO107" t="s">
        <v>50</v>
      </c>
      <c r="AP107" t="s">
        <v>423</v>
      </c>
      <c r="AQ107" s="1">
        <v>4087</v>
      </c>
      <c r="AR107" t="s">
        <v>70</v>
      </c>
    </row>
    <row r="108" spans="1:44">
      <c r="A108" s="1">
        <v>74820</v>
      </c>
      <c r="B108" s="1">
        <v>74818</v>
      </c>
      <c r="C108" s="1">
        <v>67510</v>
      </c>
      <c r="D108" t="s">
        <v>424</v>
      </c>
      <c r="E108" t="s">
        <v>425</v>
      </c>
      <c r="F108" t="str">
        <f>VLOOKUP(E108,Tabela2[#All],2,FALSE)</f>
        <v>Válvula Nível 3</v>
      </c>
      <c r="G108" t="s">
        <v>426</v>
      </c>
      <c r="H108" s="1">
        <v>5.79</v>
      </c>
      <c r="I108" s="1">
        <v>5.79</v>
      </c>
      <c r="J108" t="s">
        <v>65</v>
      </c>
      <c r="K108" s="1">
        <v>76.730069</v>
      </c>
      <c r="L108" s="1">
        <v>1.6</v>
      </c>
      <c r="M108" s="1">
        <v>14.826000000000001</v>
      </c>
      <c r="N108" s="1">
        <v>89565</v>
      </c>
      <c r="O108" t="s">
        <v>195</v>
      </c>
      <c r="P108" t="s">
        <v>341</v>
      </c>
      <c r="Q108" t="s">
        <v>68</v>
      </c>
      <c r="R108" s="1">
        <v>0.77800000000000002</v>
      </c>
      <c r="S108" t="s">
        <v>50</v>
      </c>
      <c r="T108" s="1">
        <v>185.73184674999999</v>
      </c>
      <c r="U108" s="1">
        <v>92.309406179999996</v>
      </c>
      <c r="V108" s="1">
        <v>0</v>
      </c>
      <c r="W108" s="1">
        <v>0</v>
      </c>
      <c r="X108" t="s">
        <v>50</v>
      </c>
      <c r="Y108" t="s">
        <v>50</v>
      </c>
      <c r="Z108" t="s">
        <v>50</v>
      </c>
      <c r="AA108" t="s">
        <v>50</v>
      </c>
      <c r="AB108" s="1">
        <v>25.38</v>
      </c>
      <c r="AC108" t="s">
        <v>50</v>
      </c>
      <c r="AD108" t="s">
        <v>50</v>
      </c>
      <c r="AE108" t="s">
        <v>50</v>
      </c>
      <c r="AF108" t="s">
        <v>50</v>
      </c>
      <c r="AG108" s="1">
        <v>0.625</v>
      </c>
      <c r="AH108" s="1">
        <v>1.645</v>
      </c>
      <c r="AI108" s="1">
        <v>0.3</v>
      </c>
      <c r="AJ108" t="s">
        <v>50</v>
      </c>
      <c r="AK108" t="s">
        <v>50</v>
      </c>
      <c r="AL108" t="s">
        <v>50</v>
      </c>
      <c r="AM108" t="s">
        <v>50</v>
      </c>
      <c r="AN108" s="1">
        <v>5.0999999999999996</v>
      </c>
      <c r="AO108" t="s">
        <v>50</v>
      </c>
      <c r="AP108" t="s">
        <v>427</v>
      </c>
      <c r="AQ108" s="1">
        <v>7347</v>
      </c>
      <c r="AR108" t="s">
        <v>70</v>
      </c>
    </row>
    <row r="109" spans="1:44">
      <c r="A109" s="1">
        <v>74820</v>
      </c>
      <c r="B109" s="1">
        <v>74818</v>
      </c>
      <c r="C109" s="1">
        <v>67510</v>
      </c>
      <c r="D109" t="s">
        <v>424</v>
      </c>
      <c r="E109" t="s">
        <v>425</v>
      </c>
      <c r="F109" t="str">
        <f>VLOOKUP(E109,Tabela2[#All],2,FALSE)</f>
        <v>Válvula Nível 3</v>
      </c>
      <c r="G109" t="s">
        <v>426</v>
      </c>
      <c r="H109" s="1">
        <v>5.79</v>
      </c>
      <c r="I109" s="1">
        <v>5.79</v>
      </c>
      <c r="J109" t="s">
        <v>65</v>
      </c>
      <c r="K109" s="1">
        <v>76.730069</v>
      </c>
      <c r="L109" s="1">
        <v>1.6</v>
      </c>
      <c r="M109" s="1">
        <v>14.826000000000001</v>
      </c>
      <c r="N109" s="1">
        <v>89565</v>
      </c>
      <c r="O109" t="s">
        <v>195</v>
      </c>
      <c r="P109" t="s">
        <v>344</v>
      </c>
      <c r="Q109" t="s">
        <v>68</v>
      </c>
      <c r="R109" s="1">
        <v>0.77800000000000002</v>
      </c>
      <c r="S109" t="s">
        <v>50</v>
      </c>
      <c r="T109" s="1">
        <v>185.73184674999999</v>
      </c>
      <c r="U109" s="1">
        <v>92.309406179999996</v>
      </c>
      <c r="V109" s="1">
        <v>0</v>
      </c>
      <c r="W109" s="1">
        <v>0</v>
      </c>
      <c r="X109" t="s">
        <v>50</v>
      </c>
      <c r="Y109" t="s">
        <v>50</v>
      </c>
      <c r="Z109" t="s">
        <v>50</v>
      </c>
      <c r="AA109" t="s">
        <v>50</v>
      </c>
      <c r="AB109" s="1">
        <v>25.38</v>
      </c>
      <c r="AC109" t="s">
        <v>50</v>
      </c>
      <c r="AD109" t="s">
        <v>50</v>
      </c>
      <c r="AE109" t="s">
        <v>50</v>
      </c>
      <c r="AF109" t="s">
        <v>50</v>
      </c>
      <c r="AG109" s="1">
        <v>0.625</v>
      </c>
      <c r="AH109" s="1">
        <v>1.645</v>
      </c>
      <c r="AI109" s="1">
        <v>0.3</v>
      </c>
      <c r="AJ109" t="s">
        <v>50</v>
      </c>
      <c r="AK109" t="s">
        <v>50</v>
      </c>
      <c r="AL109" t="s">
        <v>50</v>
      </c>
      <c r="AM109" t="s">
        <v>50</v>
      </c>
      <c r="AN109" s="1">
        <v>5.0999999999999996</v>
      </c>
      <c r="AO109" t="s">
        <v>50</v>
      </c>
      <c r="AP109" t="s">
        <v>427</v>
      </c>
      <c r="AQ109" s="1">
        <v>7347</v>
      </c>
      <c r="AR109" t="s">
        <v>70</v>
      </c>
    </row>
    <row r="110" spans="1:44">
      <c r="A110" s="1">
        <v>117220</v>
      </c>
      <c r="B110" s="1">
        <v>117219</v>
      </c>
      <c r="C110" s="1">
        <v>99618</v>
      </c>
      <c r="D110" t="s">
        <v>428</v>
      </c>
      <c r="E110" t="s">
        <v>429</v>
      </c>
      <c r="F110" t="str">
        <f>VLOOKUP(E110,Tabela2[#All],2,FALSE)</f>
        <v>SEM FAMÍLIA</v>
      </c>
      <c r="G110" t="s">
        <v>430</v>
      </c>
      <c r="H110" s="1">
        <v>0.75</v>
      </c>
      <c r="I110" s="1">
        <v>0.75</v>
      </c>
      <c r="J110" t="s">
        <v>46</v>
      </c>
      <c r="K110" s="1">
        <v>51.104478</v>
      </c>
      <c r="L110" s="1">
        <v>4</v>
      </c>
      <c r="M110" s="1">
        <v>6.7</v>
      </c>
      <c r="N110" s="1">
        <v>32958</v>
      </c>
      <c r="O110" t="s">
        <v>81</v>
      </c>
      <c r="P110" t="s">
        <v>431</v>
      </c>
      <c r="Q110" t="s">
        <v>76</v>
      </c>
      <c r="R110" t="s">
        <v>50</v>
      </c>
      <c r="S110" t="s">
        <v>50</v>
      </c>
      <c r="T110" s="1">
        <v>13.5974924</v>
      </c>
      <c r="U110" s="1">
        <v>7.92611065</v>
      </c>
      <c r="V110" s="1">
        <v>2.4597500000000001</v>
      </c>
      <c r="W110" s="1">
        <v>0</v>
      </c>
      <c r="X110" t="s">
        <v>50</v>
      </c>
      <c r="Y110" s="1">
        <v>0.06</v>
      </c>
      <c r="Z110" s="1">
        <v>0</v>
      </c>
      <c r="AA110" t="s">
        <v>50</v>
      </c>
      <c r="AB110" s="1">
        <v>2.6086</v>
      </c>
      <c r="AC110" t="s">
        <v>50</v>
      </c>
      <c r="AD110" t="s">
        <v>50</v>
      </c>
      <c r="AE110" t="s">
        <v>50</v>
      </c>
      <c r="AF110" s="1">
        <v>0.16924800000000001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432</v>
      </c>
      <c r="AQ110" s="1">
        <v>13288</v>
      </c>
      <c r="AR110" t="s">
        <v>51</v>
      </c>
    </row>
    <row r="111" spans="1:44">
      <c r="A111" s="1">
        <v>73223</v>
      </c>
      <c r="B111" s="1">
        <v>73225</v>
      </c>
      <c r="C111" s="1">
        <v>66173</v>
      </c>
      <c r="D111" t="s">
        <v>433</v>
      </c>
      <c r="E111" t="s">
        <v>434</v>
      </c>
      <c r="F111" t="str">
        <f>VLOOKUP(E111,Tabela2[#All],2,FALSE)</f>
        <v>SEM FAMÍLIA</v>
      </c>
      <c r="G111" t="s">
        <v>435</v>
      </c>
      <c r="H111" s="1">
        <v>0.67</v>
      </c>
      <c r="I111" s="1">
        <v>0.67</v>
      </c>
      <c r="J111" t="s">
        <v>46</v>
      </c>
      <c r="K111" s="1">
        <v>44.137022000000002</v>
      </c>
      <c r="L111" s="1">
        <v>5</v>
      </c>
      <c r="M111" s="1">
        <v>7.59</v>
      </c>
      <c r="N111" s="1">
        <v>32963</v>
      </c>
      <c r="O111" t="s">
        <v>436</v>
      </c>
      <c r="P111" t="s">
        <v>75</v>
      </c>
      <c r="Q111" t="s">
        <v>76</v>
      </c>
      <c r="R111" t="s">
        <v>50</v>
      </c>
      <c r="S111" t="s">
        <v>50</v>
      </c>
      <c r="T111" s="1">
        <v>8.1800789500000004</v>
      </c>
      <c r="U111" s="1">
        <v>7.7085422899999996</v>
      </c>
      <c r="V111" s="1">
        <v>0</v>
      </c>
      <c r="W111" s="1">
        <v>0</v>
      </c>
      <c r="X111" t="s">
        <v>50</v>
      </c>
      <c r="Y111" s="1">
        <v>2.1600000000000001E-2</v>
      </c>
      <c r="Z111" t="s">
        <v>50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s="1">
        <v>0.15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437</v>
      </c>
      <c r="AQ111" s="1">
        <v>6988</v>
      </c>
      <c r="AR111" t="s">
        <v>51</v>
      </c>
    </row>
    <row r="112" spans="1:44">
      <c r="A112" s="1">
        <v>112219</v>
      </c>
      <c r="B112" s="1">
        <v>113708</v>
      </c>
      <c r="C112" s="1">
        <v>96210</v>
      </c>
      <c r="D112" t="s">
        <v>438</v>
      </c>
      <c r="E112" t="s">
        <v>439</v>
      </c>
      <c r="F112" t="str">
        <f>VLOOKUP(E112,Tabela2[#All],2,FALSE)</f>
        <v>BASE SAPATÃO</v>
      </c>
      <c r="G112" t="s">
        <v>440</v>
      </c>
      <c r="H112" s="1">
        <v>6.22</v>
      </c>
      <c r="I112" s="1">
        <v>6.22</v>
      </c>
      <c r="J112" t="s">
        <v>46</v>
      </c>
      <c r="K112" s="1">
        <v>54.812834000000002</v>
      </c>
      <c r="L112" s="1">
        <v>1</v>
      </c>
      <c r="M112" s="1">
        <v>11.22</v>
      </c>
      <c r="N112" s="1">
        <v>32958</v>
      </c>
      <c r="O112" t="s">
        <v>81</v>
      </c>
      <c r="P112" t="s">
        <v>441</v>
      </c>
      <c r="Q112" t="s">
        <v>49</v>
      </c>
      <c r="R112" t="s">
        <v>50</v>
      </c>
      <c r="S112" t="s">
        <v>50</v>
      </c>
      <c r="T112" s="1">
        <v>63.700789120000003</v>
      </c>
      <c r="U112" s="1">
        <v>43.34430433</v>
      </c>
      <c r="V112" s="1">
        <v>0</v>
      </c>
      <c r="W112" s="1">
        <v>7.3703268</v>
      </c>
      <c r="X112" t="s">
        <v>50</v>
      </c>
      <c r="Y112" s="1">
        <v>0.41749999999999998</v>
      </c>
      <c r="Z112" s="1">
        <v>1.2669999999999999</v>
      </c>
      <c r="AA112" t="s">
        <v>50</v>
      </c>
      <c r="AB112" t="s">
        <v>50</v>
      </c>
      <c r="AC112" s="1">
        <v>1.6</v>
      </c>
      <c r="AD112" t="s">
        <v>50</v>
      </c>
      <c r="AE112" t="s">
        <v>50</v>
      </c>
      <c r="AF112" s="1">
        <v>0.75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442</v>
      </c>
      <c r="AQ112" s="1">
        <v>12287</v>
      </c>
      <c r="AR112" t="s">
        <v>51</v>
      </c>
    </row>
    <row r="113" spans="1:44">
      <c r="A113" s="1">
        <v>31508</v>
      </c>
      <c r="B113" s="1">
        <v>35679</v>
      </c>
      <c r="C113" s="1">
        <v>30846</v>
      </c>
      <c r="D113" t="s">
        <v>443</v>
      </c>
      <c r="E113" t="s">
        <v>444</v>
      </c>
      <c r="F113" t="str">
        <f>VLOOKUP(E113,Tabela2[#All],2,FALSE)</f>
        <v>FLANGE</v>
      </c>
      <c r="G113" t="s">
        <v>445</v>
      </c>
      <c r="H113" s="1">
        <v>3.95</v>
      </c>
      <c r="I113" s="1">
        <v>3.95</v>
      </c>
      <c r="J113" t="s">
        <v>46</v>
      </c>
      <c r="K113" s="1">
        <v>56.425426999999999</v>
      </c>
      <c r="L113" s="1">
        <v>5</v>
      </c>
      <c r="M113" s="1">
        <v>36.340000000000003</v>
      </c>
      <c r="N113" s="1">
        <v>32958</v>
      </c>
      <c r="O113" t="s">
        <v>81</v>
      </c>
      <c r="P113" t="s">
        <v>256</v>
      </c>
      <c r="Q113" t="s">
        <v>49</v>
      </c>
      <c r="R113" t="s">
        <v>50</v>
      </c>
      <c r="S113" s="1">
        <v>2.7469999999999999</v>
      </c>
      <c r="T113" s="1">
        <v>44.936603470000001</v>
      </c>
      <c r="U113" s="1">
        <v>31.68293048</v>
      </c>
      <c r="V113" s="1">
        <v>0</v>
      </c>
      <c r="W113" s="1">
        <v>4.6805130000000004</v>
      </c>
      <c r="X113" t="s">
        <v>50</v>
      </c>
      <c r="Y113" s="1">
        <v>0.215</v>
      </c>
      <c r="Z113" s="1">
        <v>0.41370000000000001</v>
      </c>
      <c r="AA113" t="s">
        <v>50</v>
      </c>
      <c r="AB113" t="s">
        <v>50</v>
      </c>
      <c r="AC113" s="1">
        <v>0.72719999999999996</v>
      </c>
      <c r="AD113" t="s">
        <v>50</v>
      </c>
      <c r="AE113" s="1">
        <v>0.27200000000000002</v>
      </c>
      <c r="AF113" s="1">
        <v>0.40920000000000001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444</v>
      </c>
      <c r="AQ113" s="1">
        <v>1242</v>
      </c>
      <c r="AR113" t="s">
        <v>446</v>
      </c>
    </row>
    <row r="114" spans="1:44">
      <c r="A114" s="1">
        <v>31508</v>
      </c>
      <c r="B114" s="1">
        <v>35679</v>
      </c>
      <c r="C114" s="1">
        <v>30846</v>
      </c>
      <c r="D114" t="s">
        <v>443</v>
      </c>
      <c r="E114" t="s">
        <v>444</v>
      </c>
      <c r="F114" t="str">
        <f>VLOOKUP(E114,Tabela2[#All],2,FALSE)</f>
        <v>FLANGE</v>
      </c>
      <c r="G114" t="s">
        <v>447</v>
      </c>
      <c r="H114" s="1">
        <v>3.95</v>
      </c>
      <c r="I114" s="1">
        <v>3.95</v>
      </c>
      <c r="J114" t="s">
        <v>46</v>
      </c>
      <c r="K114" s="1">
        <v>58.840372000000002</v>
      </c>
      <c r="L114" s="1">
        <v>2</v>
      </c>
      <c r="M114" s="1">
        <v>13.97</v>
      </c>
      <c r="N114" s="1">
        <v>32958</v>
      </c>
      <c r="O114" t="s">
        <v>81</v>
      </c>
      <c r="P114" t="s">
        <v>256</v>
      </c>
      <c r="Q114" t="s">
        <v>49</v>
      </c>
      <c r="R114" t="s">
        <v>50</v>
      </c>
      <c r="S114" s="1">
        <v>2.7469999999999999</v>
      </c>
      <c r="T114" s="1">
        <v>44.936603470000001</v>
      </c>
      <c r="U114" s="1">
        <v>31.68293048</v>
      </c>
      <c r="V114" s="1">
        <v>0</v>
      </c>
      <c r="W114" s="1">
        <v>4.6805130000000004</v>
      </c>
      <c r="X114" t="s">
        <v>50</v>
      </c>
      <c r="Y114" s="1">
        <v>0.215</v>
      </c>
      <c r="Z114" s="1">
        <v>0.41370000000000001</v>
      </c>
      <c r="AA114" t="s">
        <v>50</v>
      </c>
      <c r="AB114" t="s">
        <v>50</v>
      </c>
      <c r="AC114" s="1">
        <v>0.72719999999999996</v>
      </c>
      <c r="AD114" t="s">
        <v>50</v>
      </c>
      <c r="AE114" s="1">
        <v>0.27200000000000002</v>
      </c>
      <c r="AF114" s="1">
        <v>0.40920000000000001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444</v>
      </c>
      <c r="AQ114" s="1">
        <v>1241</v>
      </c>
      <c r="AR114" t="s">
        <v>51</v>
      </c>
    </row>
    <row r="115" spans="1:44">
      <c r="A115" s="1">
        <v>43336</v>
      </c>
      <c r="B115" s="1">
        <v>43338</v>
      </c>
      <c r="C115" s="1">
        <v>38433</v>
      </c>
      <c r="D115" t="s">
        <v>448</v>
      </c>
      <c r="E115" t="s">
        <v>449</v>
      </c>
      <c r="F115" t="str">
        <f>VLOOKUP(E115,Tabela2[#All],2,FALSE)</f>
        <v>FLANGE</v>
      </c>
      <c r="G115" t="s">
        <v>450</v>
      </c>
      <c r="H115" s="1">
        <v>5.16</v>
      </c>
      <c r="I115" s="1">
        <v>5.16</v>
      </c>
      <c r="J115" t="s">
        <v>46</v>
      </c>
      <c r="K115" s="1">
        <v>50.070070000000001</v>
      </c>
      <c r="L115" s="1">
        <v>1</v>
      </c>
      <c r="M115" s="1">
        <v>9.99</v>
      </c>
      <c r="N115" s="1">
        <v>32958</v>
      </c>
      <c r="O115" t="s">
        <v>81</v>
      </c>
      <c r="P115" t="s">
        <v>451</v>
      </c>
      <c r="Q115" t="s">
        <v>49</v>
      </c>
      <c r="R115" t="s">
        <v>50</v>
      </c>
      <c r="S115" t="s">
        <v>50</v>
      </c>
      <c r="T115" s="1">
        <v>65.193451679999995</v>
      </c>
      <c r="U115" s="1">
        <v>48.030033179999997</v>
      </c>
      <c r="V115" s="1">
        <v>0</v>
      </c>
      <c r="W115" s="1">
        <v>6.1142903999999998</v>
      </c>
      <c r="X115" t="s">
        <v>50</v>
      </c>
      <c r="Y115" s="1">
        <v>0.215</v>
      </c>
      <c r="Z115" s="1">
        <v>0.54139999999999999</v>
      </c>
      <c r="AA115" t="s">
        <v>50</v>
      </c>
      <c r="AB115" t="s">
        <v>50</v>
      </c>
      <c r="AC115" s="1">
        <v>1.0908</v>
      </c>
      <c r="AD115" t="s">
        <v>50</v>
      </c>
      <c r="AE115" s="1">
        <v>0.219</v>
      </c>
      <c r="AF115" s="1">
        <v>0.81810000000000005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449</v>
      </c>
      <c r="AQ115" s="1">
        <v>2182</v>
      </c>
      <c r="AR115" t="s">
        <v>51</v>
      </c>
    </row>
    <row r="116" spans="1:44">
      <c r="A116" s="1">
        <v>43336</v>
      </c>
      <c r="B116" s="1">
        <v>43338</v>
      </c>
      <c r="C116" s="1">
        <v>38433</v>
      </c>
      <c r="D116" t="s">
        <v>448</v>
      </c>
      <c r="E116" t="s">
        <v>449</v>
      </c>
      <c r="F116" t="str">
        <f>VLOOKUP(E116,Tabela2[#All],2,FALSE)</f>
        <v>FLANGE</v>
      </c>
      <c r="G116" t="s">
        <v>450</v>
      </c>
      <c r="H116" s="1">
        <v>5.16</v>
      </c>
      <c r="I116" s="1">
        <v>5.16</v>
      </c>
      <c r="J116" t="s">
        <v>46</v>
      </c>
      <c r="K116" s="1">
        <v>50.070070000000001</v>
      </c>
      <c r="L116" s="1">
        <v>1</v>
      </c>
      <c r="M116" s="1">
        <v>9.99</v>
      </c>
      <c r="N116" s="1">
        <v>32958</v>
      </c>
      <c r="O116" t="s">
        <v>81</v>
      </c>
      <c r="P116" t="s">
        <v>256</v>
      </c>
      <c r="Q116" t="s">
        <v>49</v>
      </c>
      <c r="R116" t="s">
        <v>50</v>
      </c>
      <c r="S116" t="s">
        <v>50</v>
      </c>
      <c r="T116" s="1">
        <v>65.193451679999995</v>
      </c>
      <c r="U116" s="1">
        <v>48.030033179999997</v>
      </c>
      <c r="V116" s="1">
        <v>0</v>
      </c>
      <c r="W116" s="1">
        <v>6.1142903999999998</v>
      </c>
      <c r="X116" t="s">
        <v>50</v>
      </c>
      <c r="Y116" s="1">
        <v>0.215</v>
      </c>
      <c r="Z116" s="1">
        <v>0.54139999999999999</v>
      </c>
      <c r="AA116" t="s">
        <v>50</v>
      </c>
      <c r="AB116" t="s">
        <v>50</v>
      </c>
      <c r="AC116" s="1">
        <v>1.0908</v>
      </c>
      <c r="AD116" t="s">
        <v>50</v>
      </c>
      <c r="AE116" s="1">
        <v>0.219</v>
      </c>
      <c r="AF116" s="1">
        <v>0.81810000000000005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449</v>
      </c>
      <c r="AQ116" s="1">
        <v>2182</v>
      </c>
      <c r="AR116" t="s">
        <v>51</v>
      </c>
    </row>
    <row r="117" spans="1:44">
      <c r="A117" s="1">
        <v>31965</v>
      </c>
      <c r="B117" s="1">
        <v>38386</v>
      </c>
      <c r="C117" s="1">
        <v>31292</v>
      </c>
      <c r="D117" t="s">
        <v>452</v>
      </c>
      <c r="E117" t="s">
        <v>453</v>
      </c>
      <c r="F117" t="str">
        <f>VLOOKUP(E117,Tabela2[#All],2,FALSE)</f>
        <v>FLANGE</v>
      </c>
      <c r="G117" t="s">
        <v>454</v>
      </c>
      <c r="H117" s="1">
        <v>2.19</v>
      </c>
      <c r="I117" s="1">
        <v>2.19</v>
      </c>
      <c r="J117" t="s">
        <v>46</v>
      </c>
      <c r="K117" s="1">
        <v>58.809365</v>
      </c>
      <c r="L117" s="1">
        <v>4</v>
      </c>
      <c r="M117" s="1">
        <v>14.95</v>
      </c>
      <c r="N117" s="1">
        <v>32958</v>
      </c>
      <c r="O117" t="s">
        <v>81</v>
      </c>
      <c r="P117" t="s">
        <v>256</v>
      </c>
      <c r="Q117" t="s">
        <v>49</v>
      </c>
      <c r="R117" t="s">
        <v>50</v>
      </c>
      <c r="S117" s="1">
        <v>0.98299999999999998</v>
      </c>
      <c r="T117" s="1">
        <v>33.504688199999997</v>
      </c>
      <c r="U117" s="1">
        <v>20.920034480000002</v>
      </c>
      <c r="V117" s="1">
        <v>0</v>
      </c>
      <c r="W117" s="1">
        <v>2.5950186</v>
      </c>
      <c r="X117" t="s">
        <v>50</v>
      </c>
      <c r="Y117" s="1">
        <v>0.1666</v>
      </c>
      <c r="Z117" t="s">
        <v>50</v>
      </c>
      <c r="AA117" t="s">
        <v>50</v>
      </c>
      <c r="AB117" t="s">
        <v>50</v>
      </c>
      <c r="AC117" s="1">
        <v>1.8</v>
      </c>
      <c r="AD117" t="s">
        <v>50</v>
      </c>
      <c r="AE117" s="1">
        <v>0.25</v>
      </c>
      <c r="AF117" s="1">
        <v>0.24990000000000001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453</v>
      </c>
      <c r="AQ117" s="1">
        <v>394</v>
      </c>
      <c r="AR117" t="s">
        <v>51</v>
      </c>
    </row>
    <row r="118" spans="1:44">
      <c r="A118" s="1">
        <v>31606</v>
      </c>
      <c r="B118" s="1">
        <v>35771</v>
      </c>
      <c r="C118" s="1">
        <v>30945</v>
      </c>
      <c r="D118" t="s">
        <v>455</v>
      </c>
      <c r="E118" t="s">
        <v>456</v>
      </c>
      <c r="F118" t="str">
        <f>VLOOKUP(E118,Tabela2[#All],2,FALSE)</f>
        <v>FLANGE</v>
      </c>
      <c r="G118" t="s">
        <v>457</v>
      </c>
      <c r="H118" s="1">
        <v>6.2969999999999997</v>
      </c>
      <c r="I118" s="1">
        <v>6.2969999999999997</v>
      </c>
      <c r="J118" t="s">
        <v>46</v>
      </c>
      <c r="K118" s="1">
        <v>48.419404999999998</v>
      </c>
      <c r="L118" s="1">
        <v>1</v>
      </c>
      <c r="M118" s="1">
        <v>12.78</v>
      </c>
      <c r="N118" s="1">
        <v>32958</v>
      </c>
      <c r="O118" t="s">
        <v>81</v>
      </c>
      <c r="P118" t="s">
        <v>256</v>
      </c>
      <c r="Q118" t="s">
        <v>49</v>
      </c>
      <c r="R118" t="s">
        <v>50</v>
      </c>
      <c r="S118" t="s">
        <v>50</v>
      </c>
      <c r="T118" s="1">
        <v>79.167975130000002</v>
      </c>
      <c r="U118" s="1">
        <v>56.563423800000002</v>
      </c>
      <c r="V118" s="1">
        <v>0</v>
      </c>
      <c r="W118" s="1">
        <v>7.4615671800000003</v>
      </c>
      <c r="X118" t="s">
        <v>50</v>
      </c>
      <c r="Y118" s="1">
        <v>0.28000000000000003</v>
      </c>
      <c r="Z118" s="1">
        <v>0.42849999999999999</v>
      </c>
      <c r="AA118" t="s">
        <v>50</v>
      </c>
      <c r="AB118" t="s">
        <v>50</v>
      </c>
      <c r="AC118" s="1">
        <v>2.1252</v>
      </c>
      <c r="AD118" t="s">
        <v>50</v>
      </c>
      <c r="AE118" s="1">
        <v>0.2341</v>
      </c>
      <c r="AF118" s="1">
        <v>0.81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456</v>
      </c>
      <c r="AQ118" s="1">
        <v>2115</v>
      </c>
      <c r="AR118" t="s">
        <v>51</v>
      </c>
    </row>
    <row r="119" spans="1:44">
      <c r="A119" s="1">
        <v>31606</v>
      </c>
      <c r="B119" s="1">
        <v>35771</v>
      </c>
      <c r="C119" s="1">
        <v>30945</v>
      </c>
      <c r="D119" t="s">
        <v>455</v>
      </c>
      <c r="E119" t="s">
        <v>456</v>
      </c>
      <c r="F119" t="str">
        <f>VLOOKUP(E119,Tabela2[#All],2,FALSE)</f>
        <v>FLANGE</v>
      </c>
      <c r="G119" t="s">
        <v>457</v>
      </c>
      <c r="H119" s="1">
        <v>6.2969999999999997</v>
      </c>
      <c r="I119" s="1">
        <v>6.2969999999999997</v>
      </c>
      <c r="J119" t="s">
        <v>46</v>
      </c>
      <c r="K119" s="1">
        <v>48.419404999999998</v>
      </c>
      <c r="L119" s="1">
        <v>1</v>
      </c>
      <c r="M119" s="1">
        <v>12.78</v>
      </c>
      <c r="N119" s="1">
        <v>32958</v>
      </c>
      <c r="O119" t="s">
        <v>81</v>
      </c>
      <c r="P119" t="s">
        <v>451</v>
      </c>
      <c r="Q119" t="s">
        <v>49</v>
      </c>
      <c r="R119" t="s">
        <v>50</v>
      </c>
      <c r="S119" t="s">
        <v>50</v>
      </c>
      <c r="T119" s="1">
        <v>79.167975130000002</v>
      </c>
      <c r="U119" s="1">
        <v>56.563423800000002</v>
      </c>
      <c r="V119" s="1">
        <v>0</v>
      </c>
      <c r="W119" s="1">
        <v>7.4615671800000003</v>
      </c>
      <c r="X119" t="s">
        <v>50</v>
      </c>
      <c r="Y119" s="1">
        <v>0.28000000000000003</v>
      </c>
      <c r="Z119" s="1">
        <v>0.42849999999999999</v>
      </c>
      <c r="AA119" t="s">
        <v>50</v>
      </c>
      <c r="AB119" t="s">
        <v>50</v>
      </c>
      <c r="AC119" s="1">
        <v>2.1252</v>
      </c>
      <c r="AD119" t="s">
        <v>50</v>
      </c>
      <c r="AE119" s="1">
        <v>0.2341</v>
      </c>
      <c r="AF119" s="1">
        <v>0.81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456</v>
      </c>
      <c r="AQ119" s="1">
        <v>2115</v>
      </c>
      <c r="AR119" t="s">
        <v>51</v>
      </c>
    </row>
    <row r="120" spans="1:44">
      <c r="A120" s="1">
        <v>31611</v>
      </c>
      <c r="B120" s="1">
        <v>38530</v>
      </c>
      <c r="C120" s="1">
        <v>30950</v>
      </c>
      <c r="D120" t="s">
        <v>458</v>
      </c>
      <c r="E120" t="s">
        <v>459</v>
      </c>
      <c r="F120" t="str">
        <f>VLOOKUP(E120,Tabela2[#All],2,FALSE)</f>
        <v>FLANGE</v>
      </c>
      <c r="G120" t="s">
        <v>460</v>
      </c>
      <c r="H120" s="1">
        <v>7.12</v>
      </c>
      <c r="I120" s="1">
        <v>7.12</v>
      </c>
      <c r="J120" t="s">
        <v>46</v>
      </c>
      <c r="K120" s="1">
        <v>50.769230999999998</v>
      </c>
      <c r="L120" s="1">
        <v>1</v>
      </c>
      <c r="M120" s="1">
        <v>13.65</v>
      </c>
      <c r="N120" s="1">
        <v>32958</v>
      </c>
      <c r="O120" t="s">
        <v>81</v>
      </c>
      <c r="P120" t="s">
        <v>256</v>
      </c>
      <c r="Q120" t="s">
        <v>49</v>
      </c>
      <c r="R120" t="s">
        <v>50</v>
      </c>
      <c r="S120" s="1">
        <v>2.42</v>
      </c>
      <c r="T120" s="1">
        <v>79.202197170000005</v>
      </c>
      <c r="U120" s="1">
        <v>54.240556779999999</v>
      </c>
      <c r="V120" s="1">
        <v>0</v>
      </c>
      <c r="W120" s="1">
        <v>8.4367728</v>
      </c>
      <c r="X120" t="s">
        <v>50</v>
      </c>
      <c r="Y120" s="1">
        <v>0.67700000000000005</v>
      </c>
      <c r="Z120" s="1">
        <v>0.5</v>
      </c>
      <c r="AA120" s="1">
        <v>1.1499999999999999</v>
      </c>
      <c r="AB120" t="s">
        <v>50</v>
      </c>
      <c r="AC120" s="1">
        <v>1.8748</v>
      </c>
      <c r="AD120" t="s">
        <v>50</v>
      </c>
      <c r="AE120" s="1">
        <v>0.35</v>
      </c>
      <c r="AF120" s="1">
        <v>0.81810000000000005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459</v>
      </c>
      <c r="AQ120" s="1">
        <v>1715</v>
      </c>
      <c r="AR120" t="s">
        <v>51</v>
      </c>
    </row>
    <row r="121" spans="1:44">
      <c r="A121" s="1">
        <v>31976</v>
      </c>
      <c r="B121" s="1">
        <v>38996</v>
      </c>
      <c r="C121" s="1">
        <v>30965</v>
      </c>
      <c r="D121" t="s">
        <v>461</v>
      </c>
      <c r="E121" t="s">
        <v>462</v>
      </c>
      <c r="F121" t="str">
        <f>VLOOKUP(E121,Tabela2[#All],2,FALSE)</f>
        <v>BASE PEDESTAL</v>
      </c>
      <c r="G121" t="s">
        <v>463</v>
      </c>
      <c r="H121" s="1">
        <v>14.16</v>
      </c>
      <c r="I121" s="1">
        <v>14.16</v>
      </c>
      <c r="J121" t="s">
        <v>46</v>
      </c>
      <c r="K121" s="1">
        <v>45.454545000000003</v>
      </c>
      <c r="L121" s="1">
        <v>1</v>
      </c>
      <c r="M121" s="1">
        <v>33</v>
      </c>
      <c r="N121" s="1">
        <v>32958</v>
      </c>
      <c r="O121" t="s">
        <v>81</v>
      </c>
      <c r="P121" t="s">
        <v>256</v>
      </c>
      <c r="Q121" t="s">
        <v>49</v>
      </c>
      <c r="R121" t="s">
        <v>50</v>
      </c>
      <c r="S121" s="1">
        <v>4.9950000000000001</v>
      </c>
      <c r="T121" s="1">
        <v>123.26069445</v>
      </c>
      <c r="U121" s="1">
        <v>50.627795200000001</v>
      </c>
      <c r="V121" s="1">
        <v>0</v>
      </c>
      <c r="W121" s="1">
        <v>16.7787504</v>
      </c>
      <c r="X121" t="s">
        <v>50</v>
      </c>
      <c r="Y121" s="1">
        <v>2.2290999999999999</v>
      </c>
      <c r="Z121" s="1">
        <v>0.75</v>
      </c>
      <c r="AA121" s="1">
        <v>2.9950000000000001</v>
      </c>
      <c r="AB121" t="s">
        <v>50</v>
      </c>
      <c r="AC121" s="1">
        <v>6.7915999999999999</v>
      </c>
      <c r="AD121" t="s">
        <v>50</v>
      </c>
      <c r="AE121" s="1">
        <v>0.27500000000000002</v>
      </c>
      <c r="AF121" s="1">
        <v>6.5739000000000001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462</v>
      </c>
      <c r="AQ121" s="1">
        <v>1718</v>
      </c>
      <c r="AR121" t="s">
        <v>446</v>
      </c>
    </row>
    <row r="122" spans="1:44">
      <c r="A122" s="1">
        <v>31624</v>
      </c>
      <c r="B122" s="1">
        <v>35734</v>
      </c>
      <c r="C122" s="1">
        <v>30963</v>
      </c>
      <c r="D122" t="s">
        <v>464</v>
      </c>
      <c r="E122" t="s">
        <v>465</v>
      </c>
      <c r="F122" t="str">
        <f>VLOOKUP(E122,Tabela2[#All],2,FALSE)</f>
        <v>FLANGE</v>
      </c>
      <c r="G122" t="s">
        <v>466</v>
      </c>
      <c r="H122" s="1">
        <v>6.11</v>
      </c>
      <c r="I122" s="1">
        <v>6.11</v>
      </c>
      <c r="J122" t="s">
        <v>46</v>
      </c>
      <c r="K122" s="1">
        <v>54.709418999999997</v>
      </c>
      <c r="L122" s="1">
        <v>1</v>
      </c>
      <c r="M122" s="1">
        <v>9.98</v>
      </c>
      <c r="N122" s="1">
        <v>32958</v>
      </c>
      <c r="O122" t="s">
        <v>81</v>
      </c>
      <c r="P122" t="s">
        <v>256</v>
      </c>
      <c r="Q122" t="s">
        <v>49</v>
      </c>
      <c r="R122" t="s">
        <v>50</v>
      </c>
      <c r="S122" t="s">
        <v>50</v>
      </c>
      <c r="T122" s="1">
        <v>70.144095590000006</v>
      </c>
      <c r="U122" s="1">
        <v>51.556875980000001</v>
      </c>
      <c r="V122" s="1">
        <v>0</v>
      </c>
      <c r="W122" s="1">
        <v>7.2399833999999998</v>
      </c>
      <c r="X122" t="s">
        <v>50</v>
      </c>
      <c r="Y122" s="1">
        <v>0.48599999999999999</v>
      </c>
      <c r="Z122" s="1">
        <v>0.42799999999999999</v>
      </c>
      <c r="AA122" s="1">
        <v>0.55910000000000004</v>
      </c>
      <c r="AB122" t="s">
        <v>50</v>
      </c>
      <c r="AC122" s="1">
        <v>1.4456</v>
      </c>
      <c r="AD122" t="s">
        <v>50</v>
      </c>
      <c r="AE122" s="1">
        <v>0.10340000000000001</v>
      </c>
      <c r="AF122" s="1">
        <v>0.99990000000000001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465</v>
      </c>
      <c r="AQ122" s="1">
        <v>1243</v>
      </c>
      <c r="AR122" t="s">
        <v>51</v>
      </c>
    </row>
    <row r="123" spans="1:44">
      <c r="A123" s="1">
        <v>31624</v>
      </c>
      <c r="B123" s="1">
        <v>35734</v>
      </c>
      <c r="C123" s="1">
        <v>30963</v>
      </c>
      <c r="D123" t="s">
        <v>464</v>
      </c>
      <c r="E123" t="s">
        <v>465</v>
      </c>
      <c r="F123" t="str">
        <f>VLOOKUP(E123,Tabela2[#All],2,FALSE)</f>
        <v>FLANGE</v>
      </c>
      <c r="G123" t="s">
        <v>466</v>
      </c>
      <c r="H123" s="1">
        <v>6.11</v>
      </c>
      <c r="I123" s="1">
        <v>6.11</v>
      </c>
      <c r="J123" t="s">
        <v>46</v>
      </c>
      <c r="K123" s="1">
        <v>54.709418999999997</v>
      </c>
      <c r="L123" s="1">
        <v>1</v>
      </c>
      <c r="M123" s="1">
        <v>9.98</v>
      </c>
      <c r="N123" s="1">
        <v>32958</v>
      </c>
      <c r="O123" t="s">
        <v>81</v>
      </c>
      <c r="P123" t="s">
        <v>451</v>
      </c>
      <c r="Q123" t="s">
        <v>49</v>
      </c>
      <c r="R123" t="s">
        <v>50</v>
      </c>
      <c r="S123" t="s">
        <v>50</v>
      </c>
      <c r="T123" s="1">
        <v>70.144095590000006</v>
      </c>
      <c r="U123" s="1">
        <v>51.556875980000001</v>
      </c>
      <c r="V123" s="1">
        <v>0</v>
      </c>
      <c r="W123" s="1">
        <v>7.2399833999999998</v>
      </c>
      <c r="X123" t="s">
        <v>50</v>
      </c>
      <c r="Y123" s="1">
        <v>0.48599999999999999</v>
      </c>
      <c r="Z123" s="1">
        <v>0.42799999999999999</v>
      </c>
      <c r="AA123" s="1">
        <v>0.55910000000000004</v>
      </c>
      <c r="AB123" t="s">
        <v>50</v>
      </c>
      <c r="AC123" s="1">
        <v>1.4456</v>
      </c>
      <c r="AD123" t="s">
        <v>50</v>
      </c>
      <c r="AE123" s="1">
        <v>0.10340000000000001</v>
      </c>
      <c r="AF123" s="1">
        <v>0.99990000000000001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465</v>
      </c>
      <c r="AQ123" s="1">
        <v>1243</v>
      </c>
      <c r="AR123" t="s">
        <v>51</v>
      </c>
    </row>
    <row r="124" spans="1:44">
      <c r="A124" s="1">
        <v>31624</v>
      </c>
      <c r="B124" s="1">
        <v>35734</v>
      </c>
      <c r="C124" s="1">
        <v>30963</v>
      </c>
      <c r="D124" t="s">
        <v>464</v>
      </c>
      <c r="E124" t="s">
        <v>465</v>
      </c>
      <c r="F124" t="str">
        <f>VLOOKUP(E124,Tabela2[#All],2,FALSE)</f>
        <v>FLANGE</v>
      </c>
      <c r="G124" t="s">
        <v>467</v>
      </c>
      <c r="H124" s="1">
        <v>6.11</v>
      </c>
      <c r="I124" s="1">
        <v>6.11</v>
      </c>
      <c r="J124" t="s">
        <v>46</v>
      </c>
      <c r="K124" s="1">
        <v>66.801321999999999</v>
      </c>
      <c r="L124" s="1">
        <v>4</v>
      </c>
      <c r="M124" s="1">
        <v>32.676000000000002</v>
      </c>
      <c r="N124" s="1">
        <v>32958</v>
      </c>
      <c r="O124" t="s">
        <v>81</v>
      </c>
      <c r="P124" t="s">
        <v>451</v>
      </c>
      <c r="Q124" t="s">
        <v>49</v>
      </c>
      <c r="R124" t="s">
        <v>50</v>
      </c>
      <c r="S124" t="s">
        <v>50</v>
      </c>
      <c r="T124" s="1">
        <v>70.144095590000006</v>
      </c>
      <c r="U124" s="1">
        <v>51.556875980000001</v>
      </c>
      <c r="V124" s="1">
        <v>0</v>
      </c>
      <c r="W124" s="1">
        <v>7.2399833999999998</v>
      </c>
      <c r="X124" t="s">
        <v>50</v>
      </c>
      <c r="Y124" s="1">
        <v>0.48599999999999999</v>
      </c>
      <c r="Z124" s="1">
        <v>0.42799999999999999</v>
      </c>
      <c r="AA124" s="1">
        <v>0.55910000000000004</v>
      </c>
      <c r="AB124" t="s">
        <v>50</v>
      </c>
      <c r="AC124" s="1">
        <v>1.4456</v>
      </c>
      <c r="AD124" t="s">
        <v>50</v>
      </c>
      <c r="AE124" s="1">
        <v>0.10340000000000001</v>
      </c>
      <c r="AF124" s="1">
        <v>0.99990000000000001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465</v>
      </c>
      <c r="AQ124" s="1">
        <v>1244</v>
      </c>
      <c r="AR124" t="s">
        <v>446</v>
      </c>
    </row>
    <row r="125" spans="1:44">
      <c r="A125" s="1">
        <v>31624</v>
      </c>
      <c r="B125" s="1">
        <v>35734</v>
      </c>
      <c r="C125" s="1">
        <v>30963</v>
      </c>
      <c r="D125" t="s">
        <v>464</v>
      </c>
      <c r="E125" t="s">
        <v>465</v>
      </c>
      <c r="F125" t="str">
        <f>VLOOKUP(E125,Tabela2[#All],2,FALSE)</f>
        <v>FLANGE</v>
      </c>
      <c r="G125" t="s">
        <v>467</v>
      </c>
      <c r="H125" s="1">
        <v>6.11</v>
      </c>
      <c r="I125" s="1">
        <v>6.11</v>
      </c>
      <c r="J125" t="s">
        <v>46</v>
      </c>
      <c r="K125" s="1">
        <v>66.801321999999999</v>
      </c>
      <c r="L125" s="1">
        <v>4</v>
      </c>
      <c r="M125" s="1">
        <v>32.676000000000002</v>
      </c>
      <c r="N125" s="1">
        <v>32958</v>
      </c>
      <c r="O125" t="s">
        <v>81</v>
      </c>
      <c r="P125" t="s">
        <v>256</v>
      </c>
      <c r="Q125" t="s">
        <v>49</v>
      </c>
      <c r="R125" t="s">
        <v>50</v>
      </c>
      <c r="S125" t="s">
        <v>50</v>
      </c>
      <c r="T125" s="1">
        <v>70.144095590000006</v>
      </c>
      <c r="U125" s="1">
        <v>51.556875980000001</v>
      </c>
      <c r="V125" s="1">
        <v>0</v>
      </c>
      <c r="W125" s="1">
        <v>7.2399833999999998</v>
      </c>
      <c r="X125" t="s">
        <v>50</v>
      </c>
      <c r="Y125" s="1">
        <v>0.48599999999999999</v>
      </c>
      <c r="Z125" s="1">
        <v>0.42799999999999999</v>
      </c>
      <c r="AA125" s="1">
        <v>0.55910000000000004</v>
      </c>
      <c r="AB125" t="s">
        <v>50</v>
      </c>
      <c r="AC125" s="1">
        <v>1.4456</v>
      </c>
      <c r="AD125" t="s">
        <v>50</v>
      </c>
      <c r="AE125" s="1">
        <v>0.10340000000000001</v>
      </c>
      <c r="AF125" s="1">
        <v>0.99990000000000001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465</v>
      </c>
      <c r="AQ125" s="1">
        <v>1244</v>
      </c>
      <c r="AR125" t="s">
        <v>446</v>
      </c>
    </row>
    <row r="126" spans="1:44">
      <c r="A126" s="1">
        <v>31903</v>
      </c>
      <c r="B126" s="1">
        <v>37870</v>
      </c>
      <c r="C126" s="1">
        <v>31229</v>
      </c>
      <c r="D126" t="s">
        <v>468</v>
      </c>
      <c r="E126" t="s">
        <v>469</v>
      </c>
      <c r="F126" t="str">
        <f>VLOOKUP(E126,Tabela2[#All],2,FALSE)</f>
        <v>BASE PEDESTAL</v>
      </c>
      <c r="G126" t="s">
        <v>470</v>
      </c>
      <c r="H126" s="1">
        <v>4.5999999999999996</v>
      </c>
      <c r="I126" s="1">
        <v>4.5999999999999996</v>
      </c>
      <c r="J126" t="s">
        <v>46</v>
      </c>
      <c r="K126" s="1">
        <v>52.380952000000001</v>
      </c>
      <c r="L126" s="1">
        <v>2</v>
      </c>
      <c r="M126" s="1">
        <v>17.64</v>
      </c>
      <c r="N126" s="1">
        <v>32958</v>
      </c>
      <c r="O126" t="s">
        <v>81</v>
      </c>
      <c r="P126" t="s">
        <v>256</v>
      </c>
      <c r="Q126" t="s">
        <v>49</v>
      </c>
      <c r="R126" t="s">
        <v>50</v>
      </c>
      <c r="S126" s="1">
        <v>3.37</v>
      </c>
      <c r="T126" s="1">
        <v>70.75082519</v>
      </c>
      <c r="U126" s="1">
        <v>44.134079759999999</v>
      </c>
      <c r="V126" s="1">
        <v>0</v>
      </c>
      <c r="W126" s="1">
        <v>5.4507240000000001</v>
      </c>
      <c r="X126" s="1">
        <v>2</v>
      </c>
      <c r="Y126" s="1">
        <v>0.26600000000000001</v>
      </c>
      <c r="Z126" t="s">
        <v>50</v>
      </c>
      <c r="AA126" t="s">
        <v>50</v>
      </c>
      <c r="AB126" t="s">
        <v>50</v>
      </c>
      <c r="AC126" s="1">
        <v>2.4</v>
      </c>
      <c r="AD126" t="s">
        <v>50</v>
      </c>
      <c r="AE126" t="s">
        <v>50</v>
      </c>
      <c r="AF126" s="1">
        <v>0.79800000000000004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398</v>
      </c>
      <c r="AQ126" s="1">
        <v>1245</v>
      </c>
      <c r="AR126" t="s">
        <v>399</v>
      </c>
    </row>
    <row r="127" spans="1:44">
      <c r="A127" s="1">
        <v>31903</v>
      </c>
      <c r="B127" s="1">
        <v>37870</v>
      </c>
      <c r="C127" s="1">
        <v>31229</v>
      </c>
      <c r="D127" t="s">
        <v>468</v>
      </c>
      <c r="E127" t="s">
        <v>469</v>
      </c>
      <c r="F127" t="str">
        <f>VLOOKUP(E127,Tabela2[#All],2,FALSE)</f>
        <v>BASE PEDESTAL</v>
      </c>
      <c r="G127" t="s">
        <v>471</v>
      </c>
      <c r="H127" s="1">
        <v>4.5999999999999996</v>
      </c>
      <c r="I127" s="1">
        <v>4.5999999999999996</v>
      </c>
      <c r="J127" t="s">
        <v>46</v>
      </c>
      <c r="K127" s="1">
        <v>47.65343</v>
      </c>
      <c r="L127" s="1">
        <v>1</v>
      </c>
      <c r="M127" s="1">
        <v>9.6950000000000003</v>
      </c>
      <c r="N127" s="1">
        <v>32958</v>
      </c>
      <c r="O127" t="s">
        <v>81</v>
      </c>
      <c r="P127" t="s">
        <v>256</v>
      </c>
      <c r="Q127" t="s">
        <v>49</v>
      </c>
      <c r="R127" t="s">
        <v>50</v>
      </c>
      <c r="S127" s="1">
        <v>3.37</v>
      </c>
      <c r="T127" s="1">
        <v>70.75082519</v>
      </c>
      <c r="U127" s="1">
        <v>44.134079759999999</v>
      </c>
      <c r="V127" s="1">
        <v>0</v>
      </c>
      <c r="W127" s="1">
        <v>5.4507240000000001</v>
      </c>
      <c r="X127" s="1">
        <v>2</v>
      </c>
      <c r="Y127" s="1">
        <v>0.26600000000000001</v>
      </c>
      <c r="Z127" t="s">
        <v>50</v>
      </c>
      <c r="AA127" t="s">
        <v>50</v>
      </c>
      <c r="AB127" t="s">
        <v>50</v>
      </c>
      <c r="AC127" s="1">
        <v>2.4</v>
      </c>
      <c r="AD127" t="s">
        <v>50</v>
      </c>
      <c r="AE127" t="s">
        <v>50</v>
      </c>
      <c r="AF127" s="1">
        <v>0.79800000000000004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469</v>
      </c>
      <c r="AQ127" s="1">
        <v>395</v>
      </c>
      <c r="AR127" t="s">
        <v>51</v>
      </c>
    </row>
    <row r="128" spans="1:44">
      <c r="A128" s="1">
        <v>44954</v>
      </c>
      <c r="B128" s="1">
        <v>44958</v>
      </c>
      <c r="C128" s="1">
        <v>39988</v>
      </c>
      <c r="D128" t="s">
        <v>472</v>
      </c>
      <c r="E128" t="s">
        <v>473</v>
      </c>
      <c r="F128" t="str">
        <f>VLOOKUP(E128,Tabela2[#All],2,FALSE)</f>
        <v>FLANGE</v>
      </c>
      <c r="G128" t="s">
        <v>474</v>
      </c>
      <c r="H128" s="1">
        <v>10.5</v>
      </c>
      <c r="I128" s="1">
        <v>10.5</v>
      </c>
      <c r="J128" t="s">
        <v>46</v>
      </c>
      <c r="K128" s="1">
        <v>61.864407</v>
      </c>
      <c r="L128" s="1">
        <v>1</v>
      </c>
      <c r="M128" s="1">
        <v>17.7</v>
      </c>
      <c r="N128" s="1">
        <v>32958</v>
      </c>
      <c r="O128" t="s">
        <v>81</v>
      </c>
      <c r="P128" t="s">
        <v>451</v>
      </c>
      <c r="Q128" t="s">
        <v>49</v>
      </c>
      <c r="R128" t="s">
        <v>50</v>
      </c>
      <c r="S128" t="s">
        <v>50</v>
      </c>
      <c r="T128" s="1">
        <v>110.75554587000001</v>
      </c>
      <c r="U128" s="1">
        <v>81.473703799999996</v>
      </c>
      <c r="V128" s="1">
        <v>0</v>
      </c>
      <c r="W128" s="1">
        <v>12.44187</v>
      </c>
      <c r="X128" t="s">
        <v>50</v>
      </c>
      <c r="Y128" s="1">
        <v>0.45</v>
      </c>
      <c r="Z128" s="1">
        <v>0.66500000000000004</v>
      </c>
      <c r="AA128" t="s">
        <v>50</v>
      </c>
      <c r="AB128" t="s">
        <v>50</v>
      </c>
      <c r="AC128" s="1">
        <v>1.9044000000000001</v>
      </c>
      <c r="AD128" t="s">
        <v>50</v>
      </c>
      <c r="AE128" s="1">
        <v>0.28599999999999998</v>
      </c>
      <c r="AF128" s="1">
        <v>0.999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473</v>
      </c>
      <c r="AQ128" s="1">
        <v>2618</v>
      </c>
      <c r="AR128" t="s">
        <v>51</v>
      </c>
    </row>
    <row r="129" spans="1:44">
      <c r="A129" s="1">
        <v>44954</v>
      </c>
      <c r="B129" s="1">
        <v>44958</v>
      </c>
      <c r="C129" s="1">
        <v>39988</v>
      </c>
      <c r="D129" t="s">
        <v>472</v>
      </c>
      <c r="E129" t="s">
        <v>473</v>
      </c>
      <c r="F129" t="str">
        <f>VLOOKUP(E129,Tabela2[#All],2,FALSE)</f>
        <v>FLANGE</v>
      </c>
      <c r="G129" t="s">
        <v>474</v>
      </c>
      <c r="H129" s="1">
        <v>10.5</v>
      </c>
      <c r="I129" s="1">
        <v>10.5</v>
      </c>
      <c r="J129" t="s">
        <v>46</v>
      </c>
      <c r="K129" s="1">
        <v>61.864407</v>
      </c>
      <c r="L129" s="1">
        <v>1</v>
      </c>
      <c r="M129" s="1">
        <v>17.7</v>
      </c>
      <c r="N129" s="1">
        <v>32958</v>
      </c>
      <c r="O129" t="s">
        <v>81</v>
      </c>
      <c r="P129" t="s">
        <v>256</v>
      </c>
      <c r="Q129" t="s">
        <v>49</v>
      </c>
      <c r="R129" t="s">
        <v>50</v>
      </c>
      <c r="S129" t="s">
        <v>50</v>
      </c>
      <c r="T129" s="1">
        <v>110.75554587000001</v>
      </c>
      <c r="U129" s="1">
        <v>81.473703799999996</v>
      </c>
      <c r="V129" s="1">
        <v>0</v>
      </c>
      <c r="W129" s="1">
        <v>12.44187</v>
      </c>
      <c r="X129" t="s">
        <v>50</v>
      </c>
      <c r="Y129" s="1">
        <v>0.45</v>
      </c>
      <c r="Z129" s="1">
        <v>0.66500000000000004</v>
      </c>
      <c r="AA129" t="s">
        <v>50</v>
      </c>
      <c r="AB129" t="s">
        <v>50</v>
      </c>
      <c r="AC129" s="1">
        <v>1.9044000000000001</v>
      </c>
      <c r="AD129" t="s">
        <v>50</v>
      </c>
      <c r="AE129" s="1">
        <v>0.28599999999999998</v>
      </c>
      <c r="AF129" s="1">
        <v>0.999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473</v>
      </c>
      <c r="AQ129" s="1">
        <v>2618</v>
      </c>
      <c r="AR129" t="s">
        <v>51</v>
      </c>
    </row>
    <row r="130" spans="1:44">
      <c r="A130" s="1">
        <v>31492</v>
      </c>
      <c r="B130" s="1">
        <v>38069</v>
      </c>
      <c r="C130" s="1">
        <v>30830</v>
      </c>
      <c r="D130" t="s">
        <v>475</v>
      </c>
      <c r="E130" t="s">
        <v>476</v>
      </c>
      <c r="F130" t="str">
        <f>VLOOKUP(E130,Tabela2[#All],2,FALSE)</f>
        <v>FLANGE</v>
      </c>
      <c r="G130" t="s">
        <v>477</v>
      </c>
      <c r="H130" s="1">
        <v>2.7</v>
      </c>
      <c r="I130" s="1">
        <v>2.7</v>
      </c>
      <c r="J130" t="s">
        <v>46</v>
      </c>
      <c r="K130" s="1">
        <v>57.314628999999996</v>
      </c>
      <c r="L130" s="1">
        <v>3</v>
      </c>
      <c r="M130" s="1">
        <v>14.97</v>
      </c>
      <c r="N130" s="1">
        <v>32958</v>
      </c>
      <c r="O130" t="s">
        <v>81</v>
      </c>
      <c r="P130" t="s">
        <v>256</v>
      </c>
      <c r="Q130" t="s">
        <v>49</v>
      </c>
      <c r="R130" t="s">
        <v>50</v>
      </c>
      <c r="S130" t="s">
        <v>50</v>
      </c>
      <c r="T130" s="1">
        <v>38.771925670000002</v>
      </c>
      <c r="U130" s="1">
        <v>20.329473060000002</v>
      </c>
      <c r="V130" s="1">
        <v>0</v>
      </c>
      <c r="W130" s="1">
        <v>3.199338</v>
      </c>
      <c r="X130" t="s">
        <v>50</v>
      </c>
      <c r="Y130" s="1">
        <v>0.1343</v>
      </c>
      <c r="Z130" s="1">
        <v>0.472441</v>
      </c>
      <c r="AA130" t="s">
        <v>50</v>
      </c>
      <c r="AB130" t="s">
        <v>50</v>
      </c>
      <c r="AC130" s="1">
        <v>1.6</v>
      </c>
      <c r="AD130" t="s">
        <v>50</v>
      </c>
      <c r="AE130" s="1">
        <v>0.27200000000000002</v>
      </c>
      <c r="AF130" s="1">
        <v>0.2727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476</v>
      </c>
      <c r="AQ130" s="1">
        <v>1720</v>
      </c>
      <c r="AR130" t="s">
        <v>51</v>
      </c>
    </row>
    <row r="131" spans="1:44">
      <c r="A131" s="1">
        <v>31488</v>
      </c>
      <c r="B131" s="1">
        <v>35696</v>
      </c>
      <c r="C131" s="1">
        <v>30826</v>
      </c>
      <c r="D131" t="s">
        <v>478</v>
      </c>
      <c r="E131" t="s">
        <v>479</v>
      </c>
      <c r="F131" t="str">
        <f>VLOOKUP(E131,Tabela2[#All],2,FALSE)</f>
        <v>FLANGE</v>
      </c>
      <c r="G131" t="s">
        <v>480</v>
      </c>
      <c r="H131" s="1">
        <v>1.1000000000000001</v>
      </c>
      <c r="I131" s="1">
        <v>1.1000000000000001</v>
      </c>
      <c r="J131" t="s">
        <v>46</v>
      </c>
      <c r="K131" s="1">
        <v>48.730549000000003</v>
      </c>
      <c r="L131" s="1">
        <v>5</v>
      </c>
      <c r="M131" s="1">
        <v>12.21</v>
      </c>
      <c r="N131" s="1">
        <v>32958</v>
      </c>
      <c r="O131" t="s">
        <v>81</v>
      </c>
      <c r="P131" t="s">
        <v>256</v>
      </c>
      <c r="Q131" t="s">
        <v>49</v>
      </c>
      <c r="R131" t="s">
        <v>50</v>
      </c>
      <c r="S131" t="s">
        <v>50</v>
      </c>
      <c r="T131" s="1">
        <v>16.612905189999999</v>
      </c>
      <c r="U131" s="1">
        <v>8.5406987000000001</v>
      </c>
      <c r="V131" s="1">
        <v>0</v>
      </c>
      <c r="W131" s="1">
        <v>1.303434</v>
      </c>
      <c r="X131" t="s">
        <v>50</v>
      </c>
      <c r="Y131" s="1">
        <v>8.7099999999999997E-2</v>
      </c>
      <c r="Z131" s="1">
        <v>0.33300000000000002</v>
      </c>
      <c r="AA131" s="1">
        <v>0.6</v>
      </c>
      <c r="AB131" t="s">
        <v>50</v>
      </c>
      <c r="AC131" s="1">
        <v>0.3004</v>
      </c>
      <c r="AD131" t="s">
        <v>50</v>
      </c>
      <c r="AE131" s="1">
        <v>5.1700000000000003E-2</v>
      </c>
      <c r="AF131" s="1">
        <v>0.156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479</v>
      </c>
      <c r="AQ131" s="1">
        <v>356</v>
      </c>
      <c r="AR131" t="s">
        <v>51</v>
      </c>
    </row>
    <row r="132" spans="1:44">
      <c r="A132" s="1">
        <v>32875</v>
      </c>
      <c r="B132" s="1">
        <v>35696</v>
      </c>
      <c r="C132" s="1">
        <v>30826</v>
      </c>
      <c r="D132" t="s">
        <v>481</v>
      </c>
      <c r="E132" t="s">
        <v>479</v>
      </c>
      <c r="F132" t="str">
        <f>VLOOKUP(E132,Tabela2[#All],2,FALSE)</f>
        <v>FLANGE</v>
      </c>
      <c r="G132" t="s">
        <v>480</v>
      </c>
      <c r="H132" s="1">
        <v>1.1000000000000001</v>
      </c>
      <c r="I132" s="1">
        <v>1.1000000000000001</v>
      </c>
      <c r="J132" t="s">
        <v>46</v>
      </c>
      <c r="K132" s="1">
        <v>48.730549000000003</v>
      </c>
      <c r="L132" s="1">
        <v>5</v>
      </c>
      <c r="M132" s="1">
        <v>12.21</v>
      </c>
      <c r="N132" s="1">
        <v>32958</v>
      </c>
      <c r="O132" t="s">
        <v>81</v>
      </c>
      <c r="P132" t="s">
        <v>256</v>
      </c>
      <c r="Q132" t="s">
        <v>49</v>
      </c>
      <c r="R132" t="s">
        <v>50</v>
      </c>
      <c r="S132" t="s">
        <v>50</v>
      </c>
      <c r="T132" s="1">
        <v>16.612905189999999</v>
      </c>
      <c r="U132" s="1">
        <v>8.5406987000000001</v>
      </c>
      <c r="V132" s="1">
        <v>0</v>
      </c>
      <c r="W132" s="1">
        <v>1.303434</v>
      </c>
      <c r="X132" t="s">
        <v>50</v>
      </c>
      <c r="Y132" s="1">
        <v>8.7099999999999997E-2</v>
      </c>
      <c r="Z132" s="1">
        <v>0.33300000000000002</v>
      </c>
      <c r="AA132" s="1">
        <v>0.6</v>
      </c>
      <c r="AB132" t="s">
        <v>50</v>
      </c>
      <c r="AC132" s="1">
        <v>0.3004</v>
      </c>
      <c r="AD132" t="s">
        <v>50</v>
      </c>
      <c r="AE132" s="1">
        <v>5.1700000000000003E-2</v>
      </c>
      <c r="AF132" s="1">
        <v>0.156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479</v>
      </c>
      <c r="AQ132" s="1">
        <v>356</v>
      </c>
      <c r="AR132" t="s">
        <v>51</v>
      </c>
    </row>
    <row r="133" spans="1:44">
      <c r="A133" s="1">
        <v>31490</v>
      </c>
      <c r="B133" s="1">
        <v>35788</v>
      </c>
      <c r="C133" s="1">
        <v>30828</v>
      </c>
      <c r="D133" t="s">
        <v>482</v>
      </c>
      <c r="E133" t="s">
        <v>483</v>
      </c>
      <c r="F133" t="str">
        <f>VLOOKUP(E133,Tabela2[#All],2,FALSE)</f>
        <v>FLANGE</v>
      </c>
      <c r="G133" t="s">
        <v>484</v>
      </c>
      <c r="H133" s="1">
        <v>6.19</v>
      </c>
      <c r="I133" s="1">
        <v>6.19</v>
      </c>
      <c r="J133" t="s">
        <v>46</v>
      </c>
      <c r="K133" s="1">
        <v>55.423729000000002</v>
      </c>
      <c r="L133" s="1">
        <v>1</v>
      </c>
      <c r="M133" s="1">
        <v>11.8</v>
      </c>
      <c r="N133" s="1">
        <v>32958</v>
      </c>
      <c r="O133" t="s">
        <v>81</v>
      </c>
      <c r="P133" t="s">
        <v>256</v>
      </c>
      <c r="Q133" t="s">
        <v>49</v>
      </c>
      <c r="R133" t="s">
        <v>50</v>
      </c>
      <c r="S133" t="s">
        <v>50</v>
      </c>
      <c r="T133" s="1">
        <v>77.203399099999999</v>
      </c>
      <c r="U133" s="1">
        <v>56.549864939999999</v>
      </c>
      <c r="V133" s="1">
        <v>0</v>
      </c>
      <c r="W133" s="1">
        <v>7.3347785999999999</v>
      </c>
      <c r="X133" t="s">
        <v>50</v>
      </c>
      <c r="Y133" s="1">
        <v>0.52690000000000003</v>
      </c>
      <c r="Z133" s="1">
        <v>0.42849999999999999</v>
      </c>
      <c r="AA133" s="1">
        <v>0.70589999999999997</v>
      </c>
      <c r="AB133" t="s">
        <v>50</v>
      </c>
      <c r="AC133" s="1">
        <v>1.4283999999999999</v>
      </c>
      <c r="AD133" t="s">
        <v>50</v>
      </c>
      <c r="AE133" t="s">
        <v>50</v>
      </c>
      <c r="AF133" s="1">
        <v>0.79800000000000004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483</v>
      </c>
      <c r="AQ133" s="1">
        <v>357</v>
      </c>
      <c r="AR133" t="s">
        <v>51</v>
      </c>
    </row>
    <row r="134" spans="1:44">
      <c r="A134" s="1">
        <v>31604</v>
      </c>
      <c r="B134" s="1">
        <v>38531</v>
      </c>
      <c r="C134" s="1">
        <v>30943</v>
      </c>
      <c r="D134" t="s">
        <v>485</v>
      </c>
      <c r="E134" t="s">
        <v>486</v>
      </c>
      <c r="F134" t="str">
        <f>VLOOKUP(E134,Tabela2[#All],2,FALSE)</f>
        <v>FLANGE</v>
      </c>
      <c r="G134" t="s">
        <v>487</v>
      </c>
      <c r="H134" s="1">
        <v>5.49</v>
      </c>
      <c r="I134" s="1">
        <v>5.49</v>
      </c>
      <c r="J134" t="s">
        <v>46</v>
      </c>
      <c r="K134" s="1">
        <v>56.969696999999996</v>
      </c>
      <c r="L134" s="1">
        <v>1</v>
      </c>
      <c r="M134" s="1">
        <v>9.9</v>
      </c>
      <c r="N134" s="1">
        <v>32958</v>
      </c>
      <c r="O134" t="s">
        <v>81</v>
      </c>
      <c r="P134" t="s">
        <v>256</v>
      </c>
      <c r="Q134" t="s">
        <v>49</v>
      </c>
      <c r="R134" t="s">
        <v>50</v>
      </c>
      <c r="S134" s="1">
        <v>2.85</v>
      </c>
      <c r="T134" s="1">
        <v>66.212511610000007</v>
      </c>
      <c r="U134" s="1">
        <v>43.707943610000001</v>
      </c>
      <c r="V134" s="1">
        <v>0</v>
      </c>
      <c r="W134" s="1">
        <v>6.5053206000000001</v>
      </c>
      <c r="X134" t="s">
        <v>50</v>
      </c>
      <c r="Y134" s="1">
        <v>0.5333</v>
      </c>
      <c r="Z134" s="1">
        <v>0.54910000000000003</v>
      </c>
      <c r="AA134" s="1">
        <v>2.0954999999999999</v>
      </c>
      <c r="AB134" t="s">
        <v>50</v>
      </c>
      <c r="AC134" s="1">
        <v>1.4032</v>
      </c>
      <c r="AD134" t="s">
        <v>50</v>
      </c>
      <c r="AE134" s="1">
        <v>0.26079999999999998</v>
      </c>
      <c r="AF134" s="1">
        <v>0.75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488</v>
      </c>
      <c r="AQ134" s="1">
        <v>12647</v>
      </c>
      <c r="AR134" t="s">
        <v>51</v>
      </c>
    </row>
    <row r="135" spans="1:44">
      <c r="A135" s="1">
        <v>32121</v>
      </c>
      <c r="B135" s="1">
        <v>38726</v>
      </c>
      <c r="C135" s="1">
        <v>31449</v>
      </c>
      <c r="D135" t="s">
        <v>489</v>
      </c>
      <c r="E135" t="s">
        <v>490</v>
      </c>
      <c r="F135" t="str">
        <f>VLOOKUP(E135,Tabela2[#All],2,FALSE)</f>
        <v>LUVA</v>
      </c>
      <c r="G135" t="s">
        <v>491</v>
      </c>
      <c r="H135" s="1">
        <v>4.72</v>
      </c>
      <c r="I135" s="1">
        <v>4.72</v>
      </c>
      <c r="J135" t="s">
        <v>46</v>
      </c>
      <c r="K135" s="1">
        <v>47.731959000000003</v>
      </c>
      <c r="L135" s="1">
        <v>1</v>
      </c>
      <c r="M135" s="1">
        <v>9.6999999999999993</v>
      </c>
      <c r="N135" s="1">
        <v>32958</v>
      </c>
      <c r="O135" t="s">
        <v>81</v>
      </c>
      <c r="P135" t="s">
        <v>256</v>
      </c>
      <c r="Q135" t="s">
        <v>49</v>
      </c>
      <c r="R135" t="s">
        <v>50</v>
      </c>
      <c r="S135" t="s">
        <v>50</v>
      </c>
      <c r="T135" s="1">
        <v>77.615797880000002</v>
      </c>
      <c r="U135" s="1">
        <v>58.333186679999997</v>
      </c>
      <c r="V135" s="1">
        <v>0</v>
      </c>
      <c r="W135" s="1">
        <v>5.5929168000000002</v>
      </c>
      <c r="X135" t="s">
        <v>50</v>
      </c>
      <c r="Y135" s="1">
        <v>0.2142</v>
      </c>
      <c r="Z135" t="s">
        <v>50</v>
      </c>
      <c r="AA135" t="s">
        <v>50</v>
      </c>
      <c r="AB135" t="s">
        <v>50</v>
      </c>
      <c r="AC135" s="1">
        <v>1.756</v>
      </c>
      <c r="AD135" t="s">
        <v>50</v>
      </c>
      <c r="AE135" s="1">
        <v>0.4</v>
      </c>
      <c r="AF135" s="1">
        <v>0.81810000000000005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490</v>
      </c>
      <c r="AQ135" s="1">
        <v>1725</v>
      </c>
      <c r="AR135" t="s">
        <v>51</v>
      </c>
    </row>
    <row r="136" spans="1:44">
      <c r="A136" s="1">
        <v>40902</v>
      </c>
      <c r="B136" s="1">
        <v>41206</v>
      </c>
      <c r="C136" s="1">
        <v>36399</v>
      </c>
      <c r="D136" t="s">
        <v>492</v>
      </c>
      <c r="E136" t="s">
        <v>493</v>
      </c>
      <c r="F136" t="str">
        <f>VLOOKUP(E136,Tabela2[#All],2,FALSE)</f>
        <v>SAPATÃO</v>
      </c>
      <c r="G136" t="s">
        <v>494</v>
      </c>
      <c r="H136" s="1">
        <v>8.0500000000000007</v>
      </c>
      <c r="I136" s="1">
        <v>8.0500000000000007</v>
      </c>
      <c r="J136" t="s">
        <v>46</v>
      </c>
      <c r="K136" s="1">
        <v>56.664290999999999</v>
      </c>
      <c r="L136" s="1">
        <v>1</v>
      </c>
      <c r="M136" s="1">
        <v>14.03</v>
      </c>
      <c r="N136" s="1">
        <v>32958</v>
      </c>
      <c r="O136" t="s">
        <v>81</v>
      </c>
      <c r="P136" t="s">
        <v>48</v>
      </c>
      <c r="Q136" t="s">
        <v>49</v>
      </c>
      <c r="R136" t="s">
        <v>50</v>
      </c>
      <c r="S136" t="s">
        <v>50</v>
      </c>
      <c r="T136" s="1">
        <v>70.411455889999999</v>
      </c>
      <c r="U136" s="1">
        <v>50.197767890000002</v>
      </c>
      <c r="V136" s="1">
        <v>21.857299999999999</v>
      </c>
      <c r="W136" s="1">
        <v>9.538767</v>
      </c>
      <c r="X136" t="s">
        <v>50</v>
      </c>
      <c r="Y136" s="1">
        <v>0.41599999999999998</v>
      </c>
      <c r="Z136" s="1">
        <v>0.88439999999999996</v>
      </c>
      <c r="AA136" t="s">
        <v>50</v>
      </c>
      <c r="AB136" t="s">
        <v>50</v>
      </c>
      <c r="AC136" s="1">
        <v>1.4543999999999999</v>
      </c>
      <c r="AD136" t="s">
        <v>50</v>
      </c>
      <c r="AE136" t="s">
        <v>50</v>
      </c>
      <c r="AF136" s="1">
        <v>0.79800000000000004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493</v>
      </c>
      <c r="AQ136" s="1">
        <v>2812</v>
      </c>
      <c r="AR136" t="s">
        <v>51</v>
      </c>
    </row>
    <row r="137" spans="1:44">
      <c r="A137" s="1">
        <v>40900</v>
      </c>
      <c r="B137" s="1">
        <v>41145</v>
      </c>
      <c r="C137" s="1">
        <v>36397</v>
      </c>
      <c r="D137" t="s">
        <v>495</v>
      </c>
      <c r="E137" t="s">
        <v>496</v>
      </c>
      <c r="F137" t="str">
        <f>VLOOKUP(E137,Tabela2[#All],2,FALSE)</f>
        <v>SAPATÃO</v>
      </c>
      <c r="G137" t="s">
        <v>497</v>
      </c>
      <c r="H137" s="1">
        <v>7.72</v>
      </c>
      <c r="I137" s="1">
        <v>7.72</v>
      </c>
      <c r="J137" t="s">
        <v>46</v>
      </c>
      <c r="K137" s="1">
        <v>57.027225999999999</v>
      </c>
      <c r="L137" s="1">
        <v>1</v>
      </c>
      <c r="M137" s="1">
        <v>13.59</v>
      </c>
      <c r="N137" s="1">
        <v>32958</v>
      </c>
      <c r="O137" t="s">
        <v>81</v>
      </c>
      <c r="P137" t="s">
        <v>48</v>
      </c>
      <c r="Q137" t="s">
        <v>49</v>
      </c>
      <c r="R137" t="s">
        <v>50</v>
      </c>
      <c r="S137" t="s">
        <v>50</v>
      </c>
      <c r="T137" s="1">
        <v>78.868586620000002</v>
      </c>
      <c r="U137" s="1">
        <v>52.123641650000003</v>
      </c>
      <c r="V137" s="1">
        <v>0</v>
      </c>
      <c r="W137" s="1">
        <v>9.1477368000000006</v>
      </c>
      <c r="X137" t="s">
        <v>50</v>
      </c>
      <c r="Y137" s="1">
        <v>0.41749999999999998</v>
      </c>
      <c r="Z137" s="1">
        <v>2.5</v>
      </c>
      <c r="AA137" t="s">
        <v>50</v>
      </c>
      <c r="AB137" t="s">
        <v>50</v>
      </c>
      <c r="AC137" s="1">
        <v>2</v>
      </c>
      <c r="AD137" t="s">
        <v>50</v>
      </c>
      <c r="AE137" t="s">
        <v>50</v>
      </c>
      <c r="AF137" s="1">
        <v>0.99990000000000001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496</v>
      </c>
      <c r="AQ137" s="1">
        <v>2348</v>
      </c>
      <c r="AR137" t="s">
        <v>51</v>
      </c>
    </row>
    <row r="138" spans="1:44">
      <c r="A138" s="1">
        <v>40898</v>
      </c>
      <c r="B138" s="1">
        <v>41123</v>
      </c>
      <c r="C138" s="1">
        <v>36395</v>
      </c>
      <c r="D138" t="s">
        <v>498</v>
      </c>
      <c r="E138" t="s">
        <v>499</v>
      </c>
      <c r="F138" t="str">
        <f>VLOOKUP(E138,Tabela2[#All],2,FALSE)</f>
        <v>SAPATÃO</v>
      </c>
      <c r="G138" t="s">
        <v>500</v>
      </c>
      <c r="H138" s="1">
        <v>5.46</v>
      </c>
      <c r="I138" s="1">
        <v>5.46</v>
      </c>
      <c r="J138" t="s">
        <v>46</v>
      </c>
      <c r="K138" s="1">
        <v>47.073579000000002</v>
      </c>
      <c r="L138" s="1">
        <v>1</v>
      </c>
      <c r="M138" s="1">
        <v>11.96</v>
      </c>
      <c r="N138" s="1">
        <v>32900</v>
      </c>
      <c r="O138" t="s">
        <v>47</v>
      </c>
      <c r="P138" t="s">
        <v>48</v>
      </c>
      <c r="Q138" t="s">
        <v>49</v>
      </c>
      <c r="R138" t="s">
        <v>50</v>
      </c>
      <c r="S138" s="1">
        <v>0.35</v>
      </c>
      <c r="T138" s="1">
        <v>71.080899689999995</v>
      </c>
      <c r="U138" s="1">
        <v>48.409657340000003</v>
      </c>
      <c r="V138" s="1">
        <v>16.069900000000001</v>
      </c>
      <c r="W138" s="1">
        <v>6.4697724000000001</v>
      </c>
      <c r="X138" t="s">
        <v>50</v>
      </c>
      <c r="Y138" s="1">
        <v>0.32140000000000002</v>
      </c>
      <c r="Z138" s="1">
        <v>0.97</v>
      </c>
      <c r="AA138" s="1">
        <v>2.7501000000000002</v>
      </c>
      <c r="AB138" t="s">
        <v>50</v>
      </c>
      <c r="AC138" s="1">
        <v>1.0908</v>
      </c>
      <c r="AD138" t="s">
        <v>50</v>
      </c>
      <c r="AE138" t="s">
        <v>50</v>
      </c>
      <c r="AF138" s="1">
        <v>0.70599000000000001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499</v>
      </c>
      <c r="AQ138" s="1">
        <v>2198</v>
      </c>
      <c r="AR138" t="s">
        <v>51</v>
      </c>
    </row>
    <row r="139" spans="1:44">
      <c r="A139" s="1">
        <v>86910</v>
      </c>
      <c r="B139" s="1">
        <v>86909</v>
      </c>
      <c r="C139" s="1">
        <v>79075</v>
      </c>
      <c r="D139" t="s">
        <v>501</v>
      </c>
      <c r="E139" t="s">
        <v>502</v>
      </c>
      <c r="F139" t="str">
        <f>VLOOKUP(E139,Tabela2[#All],2,FALSE)</f>
        <v>TAÇA</v>
      </c>
      <c r="G139" t="s">
        <v>503</v>
      </c>
      <c r="H139" s="1">
        <v>3.08</v>
      </c>
      <c r="I139" s="1">
        <v>3.08</v>
      </c>
      <c r="J139" t="s">
        <v>46</v>
      </c>
      <c r="K139" s="1">
        <v>51.003236000000001</v>
      </c>
      <c r="L139" s="1">
        <v>2</v>
      </c>
      <c r="M139" s="1">
        <v>15.45</v>
      </c>
      <c r="N139" s="1">
        <v>32900</v>
      </c>
      <c r="O139" t="s">
        <v>47</v>
      </c>
      <c r="P139" t="s">
        <v>48</v>
      </c>
      <c r="Q139" t="s">
        <v>49</v>
      </c>
      <c r="R139" t="s">
        <v>50</v>
      </c>
      <c r="S139" s="1">
        <v>1.075</v>
      </c>
      <c r="T139" s="1">
        <v>49.49957586</v>
      </c>
      <c r="U139" s="1">
        <v>35.312046850000002</v>
      </c>
      <c r="V139" s="1">
        <v>0</v>
      </c>
      <c r="W139" s="1">
        <v>3.6496151999999999</v>
      </c>
      <c r="X139" t="s">
        <v>50</v>
      </c>
      <c r="Y139" s="1">
        <v>0.10920000000000001</v>
      </c>
      <c r="Z139" t="s">
        <v>50</v>
      </c>
      <c r="AA139" s="1">
        <v>2.8779330000000001</v>
      </c>
      <c r="AB139" t="s">
        <v>50</v>
      </c>
      <c r="AC139" s="1">
        <v>0.72719999999999996</v>
      </c>
      <c r="AD139" t="s">
        <v>50</v>
      </c>
      <c r="AE139" t="s">
        <v>50</v>
      </c>
      <c r="AF139" s="1">
        <v>0.33948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504</v>
      </c>
      <c r="AQ139" s="1">
        <v>8388</v>
      </c>
      <c r="AR139" t="s">
        <v>51</v>
      </c>
    </row>
    <row r="140" spans="1:44">
      <c r="A140" s="1">
        <v>69395</v>
      </c>
      <c r="B140" s="1">
        <v>69398</v>
      </c>
      <c r="C140" s="1">
        <v>63137</v>
      </c>
      <c r="D140" t="s">
        <v>505</v>
      </c>
      <c r="E140" t="s">
        <v>506</v>
      </c>
      <c r="F140" t="str">
        <f>VLOOKUP(E140,Tabela2[#All],2,FALSE)</f>
        <v>TAÇA</v>
      </c>
      <c r="G140" t="s">
        <v>507</v>
      </c>
      <c r="H140" s="1">
        <v>2.44</v>
      </c>
      <c r="I140" s="1">
        <v>2.44</v>
      </c>
      <c r="J140" t="s">
        <v>46</v>
      </c>
      <c r="K140" s="1">
        <v>45.852187000000001</v>
      </c>
      <c r="L140" s="1">
        <v>3</v>
      </c>
      <c r="M140" s="1">
        <v>19.89</v>
      </c>
      <c r="N140" s="1">
        <v>32900</v>
      </c>
      <c r="O140" t="s">
        <v>47</v>
      </c>
      <c r="P140" t="s">
        <v>48</v>
      </c>
      <c r="Q140" t="s">
        <v>49</v>
      </c>
      <c r="R140" t="s">
        <v>50</v>
      </c>
      <c r="S140" s="1">
        <v>1.508</v>
      </c>
      <c r="T140" s="1">
        <v>37.553316109999997</v>
      </c>
      <c r="U140" s="1">
        <v>25.152950929999999</v>
      </c>
      <c r="V140" s="1">
        <v>8.7722666666666669</v>
      </c>
      <c r="W140" s="1">
        <v>2.8912536000000002</v>
      </c>
      <c r="X140" t="s">
        <v>50</v>
      </c>
      <c r="Y140" s="1">
        <v>0.1142</v>
      </c>
      <c r="Z140" t="s">
        <v>50</v>
      </c>
      <c r="AA140" s="1">
        <v>2.5653999999999999</v>
      </c>
      <c r="AB140" t="s">
        <v>50</v>
      </c>
      <c r="AC140" s="1">
        <v>0.72719999999999996</v>
      </c>
      <c r="AD140" t="s">
        <v>50</v>
      </c>
      <c r="AE140" t="s">
        <v>50</v>
      </c>
      <c r="AF140" s="1">
        <v>0.23082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508</v>
      </c>
      <c r="AQ140" s="1">
        <v>6307</v>
      </c>
      <c r="AR140" t="s">
        <v>51</v>
      </c>
    </row>
    <row r="141" spans="1:44">
      <c r="A141" s="1">
        <v>31829</v>
      </c>
      <c r="B141" s="1">
        <v>35668</v>
      </c>
      <c r="C141" s="1">
        <v>31169</v>
      </c>
      <c r="D141" t="s">
        <v>509</v>
      </c>
      <c r="E141" t="s">
        <v>510</v>
      </c>
      <c r="F141" t="str">
        <f>VLOOKUP(E141,Tabela2[#All],2,FALSE)</f>
        <v>TOCO</v>
      </c>
      <c r="G141" t="s">
        <v>511</v>
      </c>
      <c r="H141" s="1">
        <v>3.25</v>
      </c>
      <c r="I141" s="1">
        <v>3.25</v>
      </c>
      <c r="J141" t="s">
        <v>46</v>
      </c>
      <c r="K141" s="1">
        <v>58.096127000000003</v>
      </c>
      <c r="L141" s="1">
        <v>3</v>
      </c>
      <c r="M141" s="1">
        <v>21.43</v>
      </c>
      <c r="N141" s="1">
        <v>32900</v>
      </c>
      <c r="O141" t="s">
        <v>47</v>
      </c>
      <c r="P141" t="s">
        <v>48</v>
      </c>
      <c r="Q141" t="s">
        <v>49</v>
      </c>
      <c r="R141" t="s">
        <v>50</v>
      </c>
      <c r="S141" s="1">
        <v>0.94399999999999995</v>
      </c>
      <c r="T141" s="1">
        <v>40.729960920000003</v>
      </c>
      <c r="U141" s="1">
        <v>26.590184529999998</v>
      </c>
      <c r="V141" s="1">
        <v>16.381250000000001</v>
      </c>
      <c r="W141" s="1">
        <v>3.8510550000000001</v>
      </c>
      <c r="X141" s="1">
        <v>0.6</v>
      </c>
      <c r="Y141" s="1">
        <v>0.19470000000000001</v>
      </c>
      <c r="Z141" s="1">
        <v>0.5454</v>
      </c>
      <c r="AA141" s="1">
        <v>1.9731000000000001</v>
      </c>
      <c r="AB141" t="s">
        <v>50</v>
      </c>
      <c r="AC141" s="1">
        <v>1.2666200000000001</v>
      </c>
      <c r="AD141" t="s">
        <v>50</v>
      </c>
      <c r="AE141" t="s">
        <v>50</v>
      </c>
      <c r="AF141" s="1">
        <v>0.2727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510</v>
      </c>
      <c r="AQ141" s="1">
        <v>11467</v>
      </c>
      <c r="AR141" t="s">
        <v>51</v>
      </c>
    </row>
    <row r="142" spans="1:44">
      <c r="A142" s="1">
        <v>96489</v>
      </c>
      <c r="B142" s="1">
        <v>96491</v>
      </c>
      <c r="C142" s="1">
        <v>88167</v>
      </c>
      <c r="D142" t="s">
        <v>512</v>
      </c>
      <c r="E142" t="s">
        <v>513</v>
      </c>
      <c r="F142" t="str">
        <f>VLOOKUP(E142,Tabela2[#All],2,FALSE)</f>
        <v>SINO</v>
      </c>
      <c r="G142" t="s">
        <v>514</v>
      </c>
      <c r="H142" s="1">
        <v>1.53</v>
      </c>
      <c r="I142" s="1">
        <v>1.53</v>
      </c>
      <c r="J142" t="s">
        <v>46</v>
      </c>
      <c r="K142" s="1">
        <v>54.742547000000002</v>
      </c>
      <c r="L142" s="1">
        <v>6</v>
      </c>
      <c r="M142" s="1">
        <v>22.14</v>
      </c>
      <c r="N142" s="1">
        <v>32900</v>
      </c>
      <c r="O142" t="s">
        <v>47</v>
      </c>
      <c r="P142" t="s">
        <v>48</v>
      </c>
      <c r="Q142" t="s">
        <v>49</v>
      </c>
      <c r="R142" t="s">
        <v>50</v>
      </c>
      <c r="S142" t="s">
        <v>50</v>
      </c>
      <c r="T142" s="1">
        <v>23.806688479999998</v>
      </c>
      <c r="U142" s="1">
        <v>15.02620735</v>
      </c>
      <c r="V142" s="1">
        <v>0</v>
      </c>
      <c r="W142" s="1">
        <v>1.8129582</v>
      </c>
      <c r="X142" t="s">
        <v>50</v>
      </c>
      <c r="Y142" s="1">
        <v>9.8500000000000004E-2</v>
      </c>
      <c r="Z142" s="1">
        <v>0.4</v>
      </c>
      <c r="AA142" s="1">
        <v>1.6709000000000001</v>
      </c>
      <c r="AB142" t="s">
        <v>50</v>
      </c>
      <c r="AC142" s="1">
        <v>0.43609999999999999</v>
      </c>
      <c r="AD142" t="s">
        <v>50</v>
      </c>
      <c r="AE142" t="s">
        <v>50</v>
      </c>
      <c r="AF142" s="1">
        <v>0.13650000000000001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515</v>
      </c>
      <c r="AQ142" s="1">
        <v>10167</v>
      </c>
      <c r="AR142" t="s">
        <v>51</v>
      </c>
    </row>
    <row r="143" spans="1:44">
      <c r="A143" s="1">
        <v>86628</v>
      </c>
      <c r="B143" s="1">
        <v>86627</v>
      </c>
      <c r="C143" s="1">
        <v>78814</v>
      </c>
      <c r="D143" t="s">
        <v>516</v>
      </c>
      <c r="E143" t="s">
        <v>517</v>
      </c>
      <c r="F143" t="str">
        <f>VLOOKUP(E143,Tabela2[#All],2,FALSE)</f>
        <v>TAÇA</v>
      </c>
      <c r="G143" t="s">
        <v>518</v>
      </c>
      <c r="H143" s="1">
        <v>4.3899999999999997</v>
      </c>
      <c r="I143" s="1">
        <v>4.3899999999999997</v>
      </c>
      <c r="J143" t="s">
        <v>46</v>
      </c>
      <c r="K143" s="1">
        <v>51.187334999999997</v>
      </c>
      <c r="L143" s="1">
        <v>2</v>
      </c>
      <c r="M143" s="1">
        <v>22.74</v>
      </c>
      <c r="N143" s="1">
        <v>32900</v>
      </c>
      <c r="O143" t="s">
        <v>47</v>
      </c>
      <c r="P143" t="s">
        <v>48</v>
      </c>
      <c r="Q143" t="s">
        <v>49</v>
      </c>
      <c r="R143" t="s">
        <v>50</v>
      </c>
      <c r="S143" s="1">
        <v>1.3</v>
      </c>
      <c r="T143" s="1">
        <v>65.650445390000002</v>
      </c>
      <c r="U143" s="1">
        <v>43.005562079999997</v>
      </c>
      <c r="V143" s="1">
        <v>0</v>
      </c>
      <c r="W143" s="1">
        <v>5.2018865999999999</v>
      </c>
      <c r="X143" t="s">
        <v>50</v>
      </c>
      <c r="Y143" s="1">
        <v>0.28460000000000002</v>
      </c>
      <c r="Z143" s="1">
        <v>0.46150000000000002</v>
      </c>
      <c r="AA143" s="1">
        <v>4.3958000000000004</v>
      </c>
      <c r="AB143" t="s">
        <v>50</v>
      </c>
      <c r="AC143" s="1">
        <v>1</v>
      </c>
      <c r="AD143" t="s">
        <v>50</v>
      </c>
      <c r="AE143" t="s">
        <v>50</v>
      </c>
      <c r="AF143" s="1">
        <v>0.40889999999999999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519</v>
      </c>
      <c r="AQ143" s="1">
        <v>8347</v>
      </c>
      <c r="AR143" t="s">
        <v>51</v>
      </c>
    </row>
    <row r="144" spans="1:44">
      <c r="A144" s="1">
        <v>91008</v>
      </c>
      <c r="B144" s="1">
        <v>91010</v>
      </c>
      <c r="C144" s="1">
        <v>82927</v>
      </c>
      <c r="D144" t="s">
        <v>520</v>
      </c>
      <c r="E144" t="s">
        <v>521</v>
      </c>
      <c r="F144" t="str">
        <f>VLOOKUP(E144,Tabela2[#All],2,FALSE)</f>
        <v>TOCO</v>
      </c>
      <c r="G144" t="s">
        <v>522</v>
      </c>
      <c r="H144" s="1">
        <v>6.34</v>
      </c>
      <c r="I144" s="1">
        <v>6.34</v>
      </c>
      <c r="J144" t="s">
        <v>46</v>
      </c>
      <c r="K144" s="1">
        <v>55.147587999999999</v>
      </c>
      <c r="L144" s="1">
        <v>1</v>
      </c>
      <c r="M144" s="1">
        <v>13.89</v>
      </c>
      <c r="N144" s="1">
        <v>32900</v>
      </c>
      <c r="O144" t="s">
        <v>47</v>
      </c>
      <c r="P144" t="s">
        <v>48</v>
      </c>
      <c r="Q144" t="s">
        <v>49</v>
      </c>
      <c r="R144" t="s">
        <v>50</v>
      </c>
      <c r="S144" t="s">
        <v>50</v>
      </c>
      <c r="T144" s="1">
        <v>79.225474750000004</v>
      </c>
      <c r="U144" s="1">
        <v>56.975059639999998</v>
      </c>
      <c r="V144" s="1">
        <v>0</v>
      </c>
      <c r="W144" s="1">
        <v>7.5125196000000001</v>
      </c>
      <c r="X144" t="s">
        <v>50</v>
      </c>
      <c r="Y144" s="1">
        <v>0.24660000000000001</v>
      </c>
      <c r="Z144" s="1">
        <v>0.6</v>
      </c>
      <c r="AA144" s="1">
        <v>3.2532000000000001</v>
      </c>
      <c r="AB144" t="s">
        <v>50</v>
      </c>
      <c r="AC144" s="1">
        <v>1.0908</v>
      </c>
      <c r="AD144" t="s">
        <v>50</v>
      </c>
      <c r="AE144" t="s">
        <v>50</v>
      </c>
      <c r="AF144" s="1">
        <v>0.81810000000000005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523</v>
      </c>
      <c r="AQ144" s="1">
        <v>9127</v>
      </c>
      <c r="AR144" t="s">
        <v>51</v>
      </c>
    </row>
    <row r="145" spans="1:44">
      <c r="A145" s="1">
        <v>31831</v>
      </c>
      <c r="B145" s="1">
        <v>35701</v>
      </c>
      <c r="C145" s="1">
        <v>31171</v>
      </c>
      <c r="D145" t="s">
        <v>524</v>
      </c>
      <c r="E145" t="s">
        <v>525</v>
      </c>
      <c r="F145" t="str">
        <f>VLOOKUP(E145,Tabela2[#All],2,FALSE)</f>
        <v>TOCO</v>
      </c>
      <c r="G145" t="s">
        <v>526</v>
      </c>
      <c r="H145" s="1">
        <v>6.44</v>
      </c>
      <c r="I145" s="1">
        <v>6.4470000000000001</v>
      </c>
      <c r="J145" t="s">
        <v>46</v>
      </c>
      <c r="K145" s="1">
        <v>63.004226000000003</v>
      </c>
      <c r="L145" s="1">
        <v>2</v>
      </c>
      <c r="M145" s="1">
        <v>26.03</v>
      </c>
      <c r="N145" s="1">
        <v>32900</v>
      </c>
      <c r="O145" t="s">
        <v>47</v>
      </c>
      <c r="P145" t="s">
        <v>48</v>
      </c>
      <c r="Q145" t="s">
        <v>49</v>
      </c>
      <c r="R145" t="s">
        <v>50</v>
      </c>
      <c r="S145" t="s">
        <v>50</v>
      </c>
      <c r="T145" s="1">
        <v>73.203982400000001</v>
      </c>
      <c r="U145" s="1">
        <v>47.48682625</v>
      </c>
      <c r="V145" s="1">
        <v>20.788250000000001</v>
      </c>
      <c r="W145" s="1">
        <v>7.6310136000000002</v>
      </c>
      <c r="X145" s="1">
        <v>0.9677</v>
      </c>
      <c r="Y145" s="1">
        <v>0.41110000000000002</v>
      </c>
      <c r="Z145" s="1">
        <v>1.3332999999999999</v>
      </c>
      <c r="AA145" s="1">
        <v>2.8586</v>
      </c>
      <c r="AB145" t="s">
        <v>50</v>
      </c>
      <c r="AC145" s="1">
        <v>1.9677</v>
      </c>
      <c r="AD145" t="s">
        <v>50</v>
      </c>
      <c r="AE145" t="s">
        <v>50</v>
      </c>
      <c r="AF145" s="1">
        <v>0.40889999999999999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525</v>
      </c>
      <c r="AQ145" s="1">
        <v>361</v>
      </c>
      <c r="AR145" t="s">
        <v>51</v>
      </c>
    </row>
    <row r="146" spans="1:44">
      <c r="A146" s="1">
        <v>40904</v>
      </c>
      <c r="B146" s="1">
        <v>41176</v>
      </c>
      <c r="C146" s="1">
        <v>36401</v>
      </c>
      <c r="D146" t="s">
        <v>527</v>
      </c>
      <c r="E146" t="s">
        <v>528</v>
      </c>
      <c r="F146" t="str">
        <f>VLOOKUP(E146,Tabela2[#All],2,FALSE)</f>
        <v>TAÇA</v>
      </c>
      <c r="G146" t="s">
        <v>529</v>
      </c>
      <c r="H146" s="1">
        <v>7.24</v>
      </c>
      <c r="I146" s="1">
        <v>7.24</v>
      </c>
      <c r="J146" t="s">
        <v>46</v>
      </c>
      <c r="K146" s="1">
        <v>56.594771000000001</v>
      </c>
      <c r="L146" s="1">
        <v>1</v>
      </c>
      <c r="M146" s="1">
        <v>15.3</v>
      </c>
      <c r="N146" s="1">
        <v>32900</v>
      </c>
      <c r="O146" t="s">
        <v>47</v>
      </c>
      <c r="P146" t="s">
        <v>48</v>
      </c>
      <c r="Q146" t="s">
        <v>49</v>
      </c>
      <c r="R146" t="s">
        <v>50</v>
      </c>
      <c r="S146" t="s">
        <v>50</v>
      </c>
      <c r="T146" s="1">
        <v>106.71199546</v>
      </c>
      <c r="U146" s="1">
        <v>69.635819029999993</v>
      </c>
      <c r="V146" s="1">
        <v>0</v>
      </c>
      <c r="W146" s="1">
        <v>8.5789656000000001</v>
      </c>
      <c r="X146" t="s">
        <v>50</v>
      </c>
      <c r="Y146" s="1">
        <v>0.6</v>
      </c>
      <c r="Z146" s="1">
        <v>0.75</v>
      </c>
      <c r="AA146" s="1">
        <v>5.72</v>
      </c>
      <c r="AB146" t="s">
        <v>50</v>
      </c>
      <c r="AC146" s="1">
        <v>1.6</v>
      </c>
      <c r="AD146" t="s">
        <v>50</v>
      </c>
      <c r="AE146" t="s">
        <v>50</v>
      </c>
      <c r="AF146" s="1">
        <v>0.81810000000000005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530</v>
      </c>
      <c r="AQ146" s="1">
        <v>2672</v>
      </c>
      <c r="AR146" t="s">
        <v>51</v>
      </c>
    </row>
    <row r="147" spans="1:44">
      <c r="A147" s="1">
        <v>96469</v>
      </c>
      <c r="B147" s="1">
        <v>96471</v>
      </c>
      <c r="C147" s="1">
        <v>88146</v>
      </c>
      <c r="D147" t="s">
        <v>531</v>
      </c>
      <c r="E147" t="s">
        <v>532</v>
      </c>
      <c r="F147" t="str">
        <f>VLOOKUP(E147,Tabela2[#All],2,FALSE)</f>
        <v>TAÇA</v>
      </c>
      <c r="G147" t="s">
        <v>533</v>
      </c>
      <c r="H147" s="1">
        <v>7.75</v>
      </c>
      <c r="I147" s="1">
        <v>7.75</v>
      </c>
      <c r="J147" t="s">
        <v>46</v>
      </c>
      <c r="K147" s="1">
        <v>50.918635000000002</v>
      </c>
      <c r="L147" s="1">
        <v>1</v>
      </c>
      <c r="M147" s="1">
        <v>19.05</v>
      </c>
      <c r="N147" s="1">
        <v>32901</v>
      </c>
      <c r="O147" t="s">
        <v>534</v>
      </c>
      <c r="P147" t="s">
        <v>48</v>
      </c>
      <c r="Q147" t="s">
        <v>49</v>
      </c>
      <c r="R147" t="s">
        <v>50</v>
      </c>
      <c r="S147" t="s">
        <v>50</v>
      </c>
      <c r="T147" s="1">
        <v>118.41461486</v>
      </c>
      <c r="U147" s="1">
        <v>78.665950100000003</v>
      </c>
      <c r="V147" s="1">
        <v>0</v>
      </c>
      <c r="W147" s="1">
        <v>9.1832849999999997</v>
      </c>
      <c r="X147" t="s">
        <v>50</v>
      </c>
      <c r="Y147" s="1">
        <v>0.6</v>
      </c>
      <c r="Z147" s="1">
        <v>0.75</v>
      </c>
      <c r="AA147" s="1">
        <v>5.38</v>
      </c>
      <c r="AB147" t="s">
        <v>50</v>
      </c>
      <c r="AC147" s="1">
        <v>2.4</v>
      </c>
      <c r="AD147" t="s">
        <v>50</v>
      </c>
      <c r="AE147" t="s">
        <v>50</v>
      </c>
      <c r="AF147" s="1">
        <v>0.81810000000000005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535</v>
      </c>
      <c r="AQ147" s="1">
        <v>10147</v>
      </c>
      <c r="AR147" t="s">
        <v>51</v>
      </c>
    </row>
    <row r="148" spans="1:44">
      <c r="A148" s="1">
        <v>52936</v>
      </c>
      <c r="B148" s="1">
        <v>52938</v>
      </c>
      <c r="C148" s="1">
        <v>47337</v>
      </c>
      <c r="D148" t="s">
        <v>536</v>
      </c>
      <c r="E148" t="s">
        <v>537</v>
      </c>
      <c r="F148" t="str">
        <f>VLOOKUP(E148,Tabela2[#All],2,FALSE)</f>
        <v>TOCO</v>
      </c>
      <c r="G148" t="s">
        <v>538</v>
      </c>
      <c r="H148" s="1">
        <v>11.23</v>
      </c>
      <c r="I148" s="1">
        <v>11.23</v>
      </c>
      <c r="J148" t="s">
        <v>46</v>
      </c>
      <c r="K148" s="1">
        <v>60.514116999999999</v>
      </c>
      <c r="L148" s="1">
        <v>1</v>
      </c>
      <c r="M148" s="1">
        <v>23.73</v>
      </c>
      <c r="N148" s="1">
        <v>32900</v>
      </c>
      <c r="O148" t="s">
        <v>47</v>
      </c>
      <c r="P148" t="s">
        <v>48</v>
      </c>
      <c r="Q148" t="s">
        <v>49</v>
      </c>
      <c r="R148" t="s">
        <v>50</v>
      </c>
      <c r="S148" t="s">
        <v>50</v>
      </c>
      <c r="T148" s="1">
        <v>158.42512693</v>
      </c>
      <c r="U148" s="1">
        <v>107.43677224</v>
      </c>
      <c r="V148" s="1">
        <v>37.242699999999999</v>
      </c>
      <c r="W148" s="1">
        <v>13.3068762</v>
      </c>
      <c r="X148" t="s">
        <v>50</v>
      </c>
      <c r="Y148" s="1">
        <v>1.3625</v>
      </c>
      <c r="Z148" s="1">
        <v>2.7271999999999998</v>
      </c>
      <c r="AA148" s="1">
        <v>4.5536000000000003</v>
      </c>
      <c r="AB148" t="s">
        <v>50</v>
      </c>
      <c r="AC148" s="1">
        <v>3.27</v>
      </c>
      <c r="AD148" t="s">
        <v>50</v>
      </c>
      <c r="AE148" t="s">
        <v>50</v>
      </c>
      <c r="AF148" s="1">
        <v>1.6362000000000001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537</v>
      </c>
      <c r="AQ148" s="1">
        <v>3306</v>
      </c>
      <c r="AR148" t="s">
        <v>51</v>
      </c>
    </row>
    <row r="149" spans="1:44">
      <c r="A149" s="1">
        <v>39846</v>
      </c>
      <c r="B149" s="1">
        <v>39848</v>
      </c>
      <c r="C149" s="1">
        <v>35613</v>
      </c>
      <c r="D149" t="s">
        <v>539</v>
      </c>
      <c r="E149" t="s">
        <v>540</v>
      </c>
      <c r="F149" t="str">
        <f>VLOOKUP(E149,Tabela2[#All],2,FALSE)</f>
        <v>TAÇA</v>
      </c>
      <c r="G149" t="s">
        <v>541</v>
      </c>
      <c r="H149" s="1">
        <v>7.35</v>
      </c>
      <c r="I149" s="1">
        <v>7.35</v>
      </c>
      <c r="J149" t="s">
        <v>46</v>
      </c>
      <c r="K149" s="1">
        <v>58.894646000000002</v>
      </c>
      <c r="L149" s="1">
        <v>1</v>
      </c>
      <c r="M149" s="1">
        <v>17.37</v>
      </c>
      <c r="N149" s="1">
        <v>32900</v>
      </c>
      <c r="O149" t="s">
        <v>47</v>
      </c>
      <c r="P149" t="s">
        <v>48</v>
      </c>
      <c r="Q149" t="s">
        <v>49</v>
      </c>
      <c r="R149" t="s">
        <v>50</v>
      </c>
      <c r="S149" t="s">
        <v>50</v>
      </c>
      <c r="T149" s="1">
        <v>111.00074771</v>
      </c>
      <c r="U149" s="1">
        <v>73.848319160000003</v>
      </c>
      <c r="V149" s="1">
        <v>26.788499999999999</v>
      </c>
      <c r="W149" s="1">
        <v>8.7093089999999993</v>
      </c>
      <c r="X149" t="s">
        <v>50</v>
      </c>
      <c r="Y149" s="1">
        <v>0.4284</v>
      </c>
      <c r="Z149" s="1">
        <v>0.54500000000000004</v>
      </c>
      <c r="AA149" s="1">
        <v>4.4169</v>
      </c>
      <c r="AB149" s="1">
        <v>1.7646999999999999</v>
      </c>
      <c r="AC149" s="1">
        <v>1.6</v>
      </c>
      <c r="AD149" t="s">
        <v>50</v>
      </c>
      <c r="AE149" t="s">
        <v>50</v>
      </c>
      <c r="AF149" s="1">
        <v>0.81810000000000005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542</v>
      </c>
      <c r="AQ149" s="1">
        <v>8588</v>
      </c>
      <c r="AR149" t="s">
        <v>51</v>
      </c>
    </row>
    <row r="150" spans="1:44">
      <c r="A150" s="1">
        <v>94670</v>
      </c>
      <c r="B150" s="1">
        <v>94669</v>
      </c>
      <c r="C150" s="1">
        <v>86406</v>
      </c>
      <c r="D150" t="s">
        <v>543</v>
      </c>
      <c r="E150" t="s">
        <v>544</v>
      </c>
      <c r="F150" t="str">
        <f>VLOOKUP(E150,Tabela2[#All],2,FALSE)</f>
        <v>BASE TAÇA</v>
      </c>
      <c r="G150" t="s">
        <v>545</v>
      </c>
      <c r="H150" s="1">
        <v>13.12</v>
      </c>
      <c r="I150" s="1">
        <v>13.12</v>
      </c>
      <c r="J150" t="s">
        <v>46</v>
      </c>
      <c r="K150" s="1">
        <v>66.089108999999993</v>
      </c>
      <c r="L150" s="1">
        <v>1</v>
      </c>
      <c r="M150" s="1">
        <v>28.28</v>
      </c>
      <c r="N150" s="1">
        <v>32900</v>
      </c>
      <c r="O150" t="s">
        <v>47</v>
      </c>
      <c r="P150" t="s">
        <v>48</v>
      </c>
      <c r="Q150" t="s">
        <v>49</v>
      </c>
      <c r="R150" t="s">
        <v>50</v>
      </c>
      <c r="S150" t="s">
        <v>50</v>
      </c>
      <c r="T150" s="1">
        <v>186.50274804</v>
      </c>
      <c r="U150" s="1">
        <v>126.44271138000001</v>
      </c>
      <c r="V150" s="1">
        <v>0</v>
      </c>
      <c r="W150" s="1">
        <v>15.546412800000001</v>
      </c>
      <c r="X150" t="s">
        <v>50</v>
      </c>
      <c r="Y150" s="1">
        <v>0.66669999999999996</v>
      </c>
      <c r="Z150" t="s">
        <v>50</v>
      </c>
      <c r="AA150" s="1">
        <v>9.25</v>
      </c>
      <c r="AB150" s="1">
        <v>2.4</v>
      </c>
      <c r="AC150" s="1">
        <v>2</v>
      </c>
      <c r="AD150" t="s">
        <v>50</v>
      </c>
      <c r="AE150" t="s">
        <v>50</v>
      </c>
      <c r="AF150" s="1">
        <v>2.0009999999999999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546</v>
      </c>
      <c r="AQ150" s="1">
        <v>14669</v>
      </c>
      <c r="AR150" t="s">
        <v>51</v>
      </c>
    </row>
    <row r="151" spans="1:44">
      <c r="A151" s="1">
        <v>35886</v>
      </c>
      <c r="B151" s="1">
        <v>38925</v>
      </c>
      <c r="C151" s="1">
        <v>33647</v>
      </c>
      <c r="D151" t="s">
        <v>547</v>
      </c>
      <c r="E151" t="s">
        <v>548</v>
      </c>
      <c r="F151" t="str">
        <f>VLOOKUP(E151,Tabela2[#All],2,FALSE)</f>
        <v>TAÇA</v>
      </c>
      <c r="G151" t="s">
        <v>549</v>
      </c>
      <c r="H151" s="1">
        <v>12.77</v>
      </c>
      <c r="I151" s="1">
        <v>12.77</v>
      </c>
      <c r="J151" t="s">
        <v>46</v>
      </c>
      <c r="K151" s="1">
        <v>56.859504000000001</v>
      </c>
      <c r="L151" s="1">
        <v>4</v>
      </c>
      <c r="M151" s="1">
        <v>123</v>
      </c>
      <c r="N151" s="1">
        <v>32901</v>
      </c>
      <c r="O151" t="s">
        <v>534</v>
      </c>
      <c r="P151" t="s">
        <v>48</v>
      </c>
      <c r="Q151" t="s">
        <v>49</v>
      </c>
      <c r="R151" t="s">
        <v>50</v>
      </c>
      <c r="S151" t="s">
        <v>50</v>
      </c>
      <c r="T151" s="1">
        <v>186.08801904000001</v>
      </c>
      <c r="U151" s="1">
        <v>126.44271138000001</v>
      </c>
      <c r="V151" s="1">
        <v>47.032400000000003</v>
      </c>
      <c r="W151" s="1">
        <v>15.131683799999999</v>
      </c>
      <c r="X151" t="s">
        <v>50</v>
      </c>
      <c r="Y151" s="1">
        <v>0.66669999999999996</v>
      </c>
      <c r="Z151" t="s">
        <v>50</v>
      </c>
      <c r="AA151" s="1">
        <v>9.25</v>
      </c>
      <c r="AB151" s="1">
        <v>2.4</v>
      </c>
      <c r="AC151" s="1">
        <v>2</v>
      </c>
      <c r="AD151" t="s">
        <v>50</v>
      </c>
      <c r="AE151" t="s">
        <v>50</v>
      </c>
      <c r="AF151" s="1">
        <v>2.0009999999999999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548</v>
      </c>
      <c r="AQ151" s="1">
        <v>363</v>
      </c>
      <c r="AR151" t="s">
        <v>446</v>
      </c>
    </row>
    <row r="152" spans="1:44">
      <c r="A152" s="1">
        <v>35886</v>
      </c>
      <c r="B152" s="1">
        <v>38925</v>
      </c>
      <c r="C152" s="1">
        <v>33647</v>
      </c>
      <c r="D152" t="s">
        <v>547</v>
      </c>
      <c r="E152" t="s">
        <v>548</v>
      </c>
      <c r="F152" t="str">
        <f>VLOOKUP(E152,Tabela2[#All],2,FALSE)</f>
        <v>TAÇA</v>
      </c>
      <c r="G152" t="s">
        <v>550</v>
      </c>
      <c r="H152" s="1">
        <v>12.77</v>
      </c>
      <c r="I152" s="1">
        <v>12.77</v>
      </c>
      <c r="J152" t="s">
        <v>46</v>
      </c>
      <c r="K152" s="1">
        <v>66.089108999999993</v>
      </c>
      <c r="L152" s="1">
        <v>1</v>
      </c>
      <c r="M152" s="1">
        <v>28.28</v>
      </c>
      <c r="N152" s="1">
        <v>32900</v>
      </c>
      <c r="O152" t="s">
        <v>47</v>
      </c>
      <c r="P152" t="s">
        <v>48</v>
      </c>
      <c r="Q152" t="s">
        <v>49</v>
      </c>
      <c r="R152" t="s">
        <v>50</v>
      </c>
      <c r="S152" t="s">
        <v>50</v>
      </c>
      <c r="T152" s="1">
        <v>186.08801904000001</v>
      </c>
      <c r="U152" s="1">
        <v>126.44271138000001</v>
      </c>
      <c r="V152" s="1">
        <v>47.032400000000003</v>
      </c>
      <c r="W152" s="1">
        <v>15.131683799999999</v>
      </c>
      <c r="X152" t="s">
        <v>50</v>
      </c>
      <c r="Y152" s="1">
        <v>0.66669999999999996</v>
      </c>
      <c r="Z152" t="s">
        <v>50</v>
      </c>
      <c r="AA152" s="1">
        <v>9.25</v>
      </c>
      <c r="AB152" s="1">
        <v>2.4</v>
      </c>
      <c r="AC152" s="1">
        <v>2</v>
      </c>
      <c r="AD152" t="s">
        <v>50</v>
      </c>
      <c r="AE152" t="s">
        <v>50</v>
      </c>
      <c r="AF152" s="1">
        <v>2.0009999999999999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551</v>
      </c>
      <c r="AQ152" s="1">
        <v>5047</v>
      </c>
      <c r="AR152" t="s">
        <v>51</v>
      </c>
    </row>
    <row r="153" spans="1:44">
      <c r="A153" s="1">
        <v>31925</v>
      </c>
      <c r="B153" s="1">
        <v>35743</v>
      </c>
      <c r="C153" s="1">
        <v>31251</v>
      </c>
      <c r="D153" t="s">
        <v>552</v>
      </c>
      <c r="E153" t="s">
        <v>553</v>
      </c>
      <c r="F153" t="str">
        <f>VLOOKUP(E153,Tabela2[#All],2,FALSE)</f>
        <v>GANSO</v>
      </c>
      <c r="G153" t="s">
        <v>554</v>
      </c>
      <c r="H153" s="1">
        <v>1.34</v>
      </c>
      <c r="I153" s="1">
        <v>1.34</v>
      </c>
      <c r="J153" t="s">
        <v>46</v>
      </c>
      <c r="K153" s="1">
        <v>49.592170000000003</v>
      </c>
      <c r="L153" s="1">
        <v>4</v>
      </c>
      <c r="M153" s="1">
        <v>12.26</v>
      </c>
      <c r="N153" s="1">
        <v>32900</v>
      </c>
      <c r="O153" t="s">
        <v>47</v>
      </c>
      <c r="P153" t="s">
        <v>48</v>
      </c>
      <c r="Q153" t="s">
        <v>49</v>
      </c>
      <c r="R153" t="s">
        <v>50</v>
      </c>
      <c r="S153" s="1">
        <v>0.33300000000000002</v>
      </c>
      <c r="T153" s="1">
        <v>23.149857149999999</v>
      </c>
      <c r="U153" s="1">
        <v>14.193782479999999</v>
      </c>
      <c r="V153" s="1">
        <v>4.2479250000000004</v>
      </c>
      <c r="W153" s="1">
        <v>1.5878196</v>
      </c>
      <c r="X153" t="s">
        <v>50</v>
      </c>
      <c r="Y153" s="1">
        <v>9.2499999999999999E-2</v>
      </c>
      <c r="Z153" s="1">
        <v>1</v>
      </c>
      <c r="AA153" s="1">
        <v>1.1554</v>
      </c>
      <c r="AB153" t="s">
        <v>50</v>
      </c>
      <c r="AC153" s="1">
        <v>0.36359999999999998</v>
      </c>
      <c r="AD153" t="s">
        <v>50</v>
      </c>
      <c r="AE153" t="s">
        <v>50</v>
      </c>
      <c r="AF153" s="1">
        <v>0.16650000000000001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553</v>
      </c>
      <c r="AQ153" s="1">
        <v>364</v>
      </c>
      <c r="AR153" t="s">
        <v>51</v>
      </c>
    </row>
    <row r="154" spans="1:44">
      <c r="A154" s="1">
        <v>31911</v>
      </c>
      <c r="B154" s="1">
        <v>37884</v>
      </c>
      <c r="C154" s="1">
        <v>31237</v>
      </c>
      <c r="D154" t="s">
        <v>555</v>
      </c>
      <c r="E154" t="s">
        <v>556</v>
      </c>
      <c r="F154" t="str">
        <f>VLOOKUP(E154,Tabela2[#All],2,FALSE)</f>
        <v>REVOLVER</v>
      </c>
      <c r="G154" t="s">
        <v>557</v>
      </c>
      <c r="H154" s="1">
        <v>1.41</v>
      </c>
      <c r="I154" s="1">
        <v>1.41</v>
      </c>
      <c r="J154" t="s">
        <v>46</v>
      </c>
      <c r="K154" s="1">
        <v>53.724456000000004</v>
      </c>
      <c r="L154" s="1">
        <v>5</v>
      </c>
      <c r="M154" s="1">
        <v>15.17</v>
      </c>
      <c r="N154" s="1">
        <v>32900</v>
      </c>
      <c r="O154" t="s">
        <v>47</v>
      </c>
      <c r="P154" t="s">
        <v>48</v>
      </c>
      <c r="Q154" t="s">
        <v>49</v>
      </c>
      <c r="R154" t="s">
        <v>50</v>
      </c>
      <c r="S154" t="s">
        <v>50</v>
      </c>
      <c r="T154" s="1">
        <v>24.692678069999999</v>
      </c>
      <c r="U154" s="1">
        <v>14.410695329999999</v>
      </c>
      <c r="V154" s="1">
        <v>4.41228</v>
      </c>
      <c r="W154" s="1">
        <v>1.6707654000000001</v>
      </c>
      <c r="X154" t="s">
        <v>50</v>
      </c>
      <c r="Y154" s="1">
        <v>0.1</v>
      </c>
      <c r="Z154" t="s">
        <v>50</v>
      </c>
      <c r="AA154" s="1">
        <v>1.2076</v>
      </c>
      <c r="AB154" t="s">
        <v>50</v>
      </c>
      <c r="AC154" s="1">
        <v>1.0172000000000001</v>
      </c>
      <c r="AD154" t="s">
        <v>50</v>
      </c>
      <c r="AE154" t="s">
        <v>50</v>
      </c>
      <c r="AF154" s="1">
        <v>0.13331999999999999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556</v>
      </c>
      <c r="AQ154" s="1">
        <v>1738</v>
      </c>
      <c r="AR154" t="s">
        <v>51</v>
      </c>
    </row>
    <row r="155" spans="1:44">
      <c r="A155" s="1">
        <v>86648</v>
      </c>
      <c r="B155" s="1">
        <v>86647</v>
      </c>
      <c r="C155" s="1">
        <v>78834</v>
      </c>
      <c r="D155" t="s">
        <v>558</v>
      </c>
      <c r="E155" t="s">
        <v>559</v>
      </c>
      <c r="F155" t="str">
        <f>VLOOKUP(E155,Tabela2[#All],2,FALSE)</f>
        <v>REVOLVER</v>
      </c>
      <c r="G155" t="s">
        <v>560</v>
      </c>
      <c r="H155" s="1">
        <v>1.24</v>
      </c>
      <c r="I155" s="1">
        <v>1.24</v>
      </c>
      <c r="J155" t="s">
        <v>46</v>
      </c>
      <c r="K155" s="1">
        <v>45.180723</v>
      </c>
      <c r="L155" s="1">
        <v>5</v>
      </c>
      <c r="M155" s="1">
        <v>16.600000000000001</v>
      </c>
      <c r="N155" s="1">
        <v>32900</v>
      </c>
      <c r="O155" t="s">
        <v>47</v>
      </c>
      <c r="P155" t="s">
        <v>48</v>
      </c>
      <c r="Q155" t="s">
        <v>49</v>
      </c>
      <c r="R155" t="s">
        <v>50</v>
      </c>
      <c r="S155" s="1">
        <v>0.5</v>
      </c>
      <c r="T155" s="1">
        <v>22.18581932</v>
      </c>
      <c r="U155" s="1">
        <v>13.73575086</v>
      </c>
      <c r="V155" s="1">
        <v>0</v>
      </c>
      <c r="W155" s="1">
        <v>1.4693255999999999</v>
      </c>
      <c r="X155" t="s">
        <v>50</v>
      </c>
      <c r="Y155" s="1">
        <v>9.8500000000000004E-2</v>
      </c>
      <c r="Z155" s="1">
        <v>0.4</v>
      </c>
      <c r="AA155" s="1">
        <v>1.2</v>
      </c>
      <c r="AB155" t="s">
        <v>50</v>
      </c>
      <c r="AC155" s="1">
        <v>0.36359999999999998</v>
      </c>
      <c r="AD155" t="s">
        <v>50</v>
      </c>
      <c r="AE155" t="s">
        <v>50</v>
      </c>
      <c r="AF155" s="1">
        <v>0.13583999999999999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561</v>
      </c>
      <c r="AQ155" s="1">
        <v>8367</v>
      </c>
      <c r="AR155" t="s">
        <v>51</v>
      </c>
    </row>
    <row r="156" spans="1:44">
      <c r="A156" s="1">
        <v>65261</v>
      </c>
      <c r="B156" s="1">
        <v>65263</v>
      </c>
      <c r="C156" s="1">
        <v>59214</v>
      </c>
      <c r="D156" t="s">
        <v>562</v>
      </c>
      <c r="E156" t="s">
        <v>563</v>
      </c>
      <c r="F156" t="str">
        <f>VLOOKUP(E156,Tabela2[#All],2,FALSE)</f>
        <v>PATA DE VACA</v>
      </c>
      <c r="G156" t="s">
        <v>564</v>
      </c>
      <c r="H156" s="1">
        <v>2.2999999999999998</v>
      </c>
      <c r="I156" s="1">
        <v>2.2999999999999998</v>
      </c>
      <c r="J156" t="s">
        <v>46</v>
      </c>
      <c r="K156" s="1">
        <v>61.419201000000001</v>
      </c>
      <c r="L156" s="1">
        <v>4</v>
      </c>
      <c r="M156" s="1">
        <v>19.690000000000001</v>
      </c>
      <c r="N156" s="1">
        <v>32900</v>
      </c>
      <c r="O156" t="s">
        <v>47</v>
      </c>
      <c r="P156" t="s">
        <v>48</v>
      </c>
      <c r="Q156" t="s">
        <v>49</v>
      </c>
      <c r="R156" t="s">
        <v>50</v>
      </c>
      <c r="S156" t="s">
        <v>50</v>
      </c>
      <c r="T156" s="1">
        <v>27.189071869999999</v>
      </c>
      <c r="U156" s="1">
        <v>17.233477700000002</v>
      </c>
      <c r="V156" s="1">
        <v>7.0555500000000002</v>
      </c>
      <c r="W156" s="1">
        <v>2.7253620000000001</v>
      </c>
      <c r="X156" s="1">
        <v>0.89549999999999996</v>
      </c>
      <c r="Y156" s="1">
        <v>0.1108</v>
      </c>
      <c r="Z156" t="s">
        <v>50</v>
      </c>
      <c r="AA156" s="1">
        <v>1.2665999999999999</v>
      </c>
      <c r="AB156" t="s">
        <v>50</v>
      </c>
      <c r="AC156" s="1">
        <v>1.4407000000000001</v>
      </c>
      <c r="AD156" t="s">
        <v>50</v>
      </c>
      <c r="AE156" t="s">
        <v>50</v>
      </c>
      <c r="AF156" s="1">
        <v>0.1731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563</v>
      </c>
      <c r="AQ156" s="1">
        <v>5227</v>
      </c>
      <c r="AR156" t="s">
        <v>51</v>
      </c>
    </row>
    <row r="157" spans="1:44">
      <c r="A157" s="1">
        <v>31917</v>
      </c>
      <c r="B157" s="1">
        <v>35703</v>
      </c>
      <c r="C157" s="1">
        <v>31243</v>
      </c>
      <c r="D157" t="s">
        <v>565</v>
      </c>
      <c r="E157" t="s">
        <v>566</v>
      </c>
      <c r="F157" t="str">
        <f>VLOOKUP(E157,Tabela2[#All],2,FALSE)</f>
        <v>REVOLVER</v>
      </c>
      <c r="G157" t="s">
        <v>567</v>
      </c>
      <c r="H157" s="1">
        <v>1.73</v>
      </c>
      <c r="I157" s="1">
        <v>1.73</v>
      </c>
      <c r="J157" t="s">
        <v>46</v>
      </c>
      <c r="K157" s="1">
        <v>47.142856999999999</v>
      </c>
      <c r="L157" s="1">
        <v>3</v>
      </c>
      <c r="M157" s="1">
        <v>12.6</v>
      </c>
      <c r="N157" s="1">
        <v>32900</v>
      </c>
      <c r="O157" t="s">
        <v>47</v>
      </c>
      <c r="P157" t="s">
        <v>48</v>
      </c>
      <c r="Q157" t="s">
        <v>49</v>
      </c>
      <c r="R157" t="s">
        <v>50</v>
      </c>
      <c r="S157" s="1">
        <v>0.56799999999999995</v>
      </c>
      <c r="T157" s="1">
        <v>27.78637475</v>
      </c>
      <c r="U157" s="1">
        <v>18.605235740000001</v>
      </c>
      <c r="V157" s="1">
        <v>0</v>
      </c>
      <c r="W157" s="1">
        <v>2.0499461999999999</v>
      </c>
      <c r="X157" s="1">
        <v>0.85</v>
      </c>
      <c r="Y157" s="1">
        <v>9.8500000000000004E-2</v>
      </c>
      <c r="Z157" t="s">
        <v>50</v>
      </c>
      <c r="AA157" s="1">
        <v>1.8493999999999999</v>
      </c>
      <c r="AB157" t="s">
        <v>50</v>
      </c>
      <c r="AC157" s="1">
        <v>1.3096000000000001</v>
      </c>
      <c r="AD157" t="s">
        <v>50</v>
      </c>
      <c r="AE157" t="s">
        <v>50</v>
      </c>
      <c r="AF157" s="1">
        <v>0.27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566</v>
      </c>
      <c r="AQ157" s="1">
        <v>1923</v>
      </c>
      <c r="AR157" t="s">
        <v>51</v>
      </c>
    </row>
    <row r="158" spans="1:44">
      <c r="A158" s="1">
        <v>86530</v>
      </c>
      <c r="B158" s="1">
        <v>86532</v>
      </c>
      <c r="C158" s="1">
        <v>78719</v>
      </c>
      <c r="D158" t="s">
        <v>568</v>
      </c>
      <c r="E158" t="s">
        <v>569</v>
      </c>
      <c r="F158" t="str">
        <f>VLOOKUP(E158,Tabela2[#All],2,FALSE)</f>
        <v>GANSO</v>
      </c>
      <c r="G158" t="s">
        <v>570</v>
      </c>
      <c r="H158" s="1">
        <v>1.71</v>
      </c>
      <c r="I158" s="1">
        <v>1.71</v>
      </c>
      <c r="J158" t="s">
        <v>46</v>
      </c>
      <c r="K158" s="1">
        <v>51.628765000000001</v>
      </c>
      <c r="L158" s="1">
        <v>4</v>
      </c>
      <c r="M158" s="1">
        <v>16.27</v>
      </c>
      <c r="N158" s="1">
        <v>32900</v>
      </c>
      <c r="O158" t="s">
        <v>47</v>
      </c>
      <c r="P158" t="s">
        <v>48</v>
      </c>
      <c r="Q158" t="s">
        <v>49</v>
      </c>
      <c r="R158" t="s">
        <v>50</v>
      </c>
      <c r="S158" s="1">
        <v>1.17</v>
      </c>
      <c r="T158" s="1">
        <v>29.836253259999999</v>
      </c>
      <c r="U158" s="1">
        <v>17.768163479999998</v>
      </c>
      <c r="V158" s="1">
        <v>0</v>
      </c>
      <c r="W158" s="1">
        <v>2.0262473999999999</v>
      </c>
      <c r="X158" s="1">
        <v>0.35</v>
      </c>
      <c r="Y158" s="1">
        <v>0.14990000000000001</v>
      </c>
      <c r="Z158" s="1">
        <v>1</v>
      </c>
      <c r="AA158" s="1">
        <v>1.8494889999999999</v>
      </c>
      <c r="AB158" t="s">
        <v>50</v>
      </c>
      <c r="AC158" s="1">
        <v>0.41160000000000002</v>
      </c>
      <c r="AD158" t="s">
        <v>50</v>
      </c>
      <c r="AE158" t="s">
        <v>50</v>
      </c>
      <c r="AF158" s="1">
        <v>0.20430000000000001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571</v>
      </c>
      <c r="AQ158" s="1">
        <v>8327</v>
      </c>
      <c r="AR158" t="s">
        <v>51</v>
      </c>
    </row>
    <row r="159" spans="1:44">
      <c r="A159" s="1">
        <v>31948</v>
      </c>
      <c r="B159" s="1">
        <v>37868</v>
      </c>
      <c r="C159" s="1">
        <v>31275</v>
      </c>
      <c r="D159" t="s">
        <v>572</v>
      </c>
      <c r="E159" t="s">
        <v>573</v>
      </c>
      <c r="F159" t="str">
        <f>VLOOKUP(E159,Tabela2[#All],2,FALSE)</f>
        <v>COELHO</v>
      </c>
      <c r="G159" t="s">
        <v>574</v>
      </c>
      <c r="H159" s="1">
        <v>1.63</v>
      </c>
      <c r="I159" s="1">
        <v>1.63</v>
      </c>
      <c r="J159" t="s">
        <v>46</v>
      </c>
      <c r="K159" s="1">
        <v>55.722762000000003</v>
      </c>
      <c r="L159" s="1">
        <v>3</v>
      </c>
      <c r="M159" s="1">
        <v>11.629</v>
      </c>
      <c r="N159" s="1">
        <v>32900</v>
      </c>
      <c r="O159" t="s">
        <v>47</v>
      </c>
      <c r="P159" t="s">
        <v>48</v>
      </c>
      <c r="Q159" t="s">
        <v>49</v>
      </c>
      <c r="R159" t="s">
        <v>50</v>
      </c>
      <c r="S159" t="s">
        <v>50</v>
      </c>
      <c r="T159" s="1">
        <v>32.635439529999999</v>
      </c>
      <c r="U159" s="1">
        <v>20.779504840000001</v>
      </c>
      <c r="V159" s="1">
        <v>5.7716333333333329</v>
      </c>
      <c r="W159" s="1">
        <v>1.9314522000000001</v>
      </c>
      <c r="X159" t="s">
        <v>50</v>
      </c>
      <c r="Y159" s="1">
        <v>0.1038</v>
      </c>
      <c r="Z159" s="1">
        <v>0.73170000000000002</v>
      </c>
      <c r="AA159" s="1">
        <v>1.6709000000000001</v>
      </c>
      <c r="AB159" t="s">
        <v>50</v>
      </c>
      <c r="AC159" s="1">
        <v>0.72719999999999996</v>
      </c>
      <c r="AD159" t="s">
        <v>50</v>
      </c>
      <c r="AE159" t="s">
        <v>50</v>
      </c>
      <c r="AF159" s="1">
        <v>0.33329999999999999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573</v>
      </c>
      <c r="AQ159" s="1">
        <v>1740</v>
      </c>
      <c r="AR159" t="s">
        <v>51</v>
      </c>
    </row>
    <row r="160" spans="1:44">
      <c r="A160" s="1">
        <v>31752</v>
      </c>
      <c r="B160" s="1">
        <v>38520</v>
      </c>
      <c r="C160" s="1">
        <v>31092</v>
      </c>
      <c r="D160" t="s">
        <v>575</v>
      </c>
      <c r="E160" t="s">
        <v>576</v>
      </c>
      <c r="F160" t="str">
        <f>VLOOKUP(E160,Tabela2[#All],2,FALSE)</f>
        <v>TAÇA</v>
      </c>
      <c r="G160" t="s">
        <v>577</v>
      </c>
      <c r="H160" s="1">
        <v>2.62</v>
      </c>
      <c r="I160" s="1">
        <v>2.62</v>
      </c>
      <c r="J160" t="s">
        <v>46</v>
      </c>
      <c r="K160" s="1">
        <v>58.1571</v>
      </c>
      <c r="L160" s="1">
        <v>3</v>
      </c>
      <c r="M160" s="1">
        <v>19.86</v>
      </c>
      <c r="N160" s="1">
        <v>32900</v>
      </c>
      <c r="O160" t="s">
        <v>47</v>
      </c>
      <c r="P160" t="s">
        <v>48</v>
      </c>
      <c r="Q160" t="s">
        <v>49</v>
      </c>
      <c r="R160" t="s">
        <v>50</v>
      </c>
      <c r="S160" t="s">
        <v>50</v>
      </c>
      <c r="T160" s="1">
        <v>48.180302040000001</v>
      </c>
      <c r="U160" s="1">
        <v>29.995590020000002</v>
      </c>
      <c r="V160" s="1">
        <v>15.1913</v>
      </c>
      <c r="W160" s="1">
        <v>3.1045427999999999</v>
      </c>
      <c r="X160" t="s">
        <v>50</v>
      </c>
      <c r="Y160" s="1">
        <v>0.2</v>
      </c>
      <c r="Z160" s="1">
        <v>0.5</v>
      </c>
      <c r="AA160" s="1">
        <v>3.5865999999999998</v>
      </c>
      <c r="AB160" t="s">
        <v>50</v>
      </c>
      <c r="AC160" s="1">
        <v>1.4872000000000001</v>
      </c>
      <c r="AD160" t="s">
        <v>50</v>
      </c>
      <c r="AE160" t="s">
        <v>50</v>
      </c>
      <c r="AF160" s="1">
        <v>0.40920000000000001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575</v>
      </c>
      <c r="AQ160" s="1">
        <v>2405</v>
      </c>
      <c r="AR160" t="s">
        <v>51</v>
      </c>
    </row>
    <row r="161" spans="1:44">
      <c r="A161" s="1">
        <v>40881</v>
      </c>
      <c r="B161" s="1">
        <v>41158</v>
      </c>
      <c r="C161" s="1">
        <v>36380</v>
      </c>
      <c r="D161" t="s">
        <v>578</v>
      </c>
      <c r="E161" t="s">
        <v>579</v>
      </c>
      <c r="F161" t="str">
        <f>VLOOKUP(E161,Tabela2[#All],2,FALSE)</f>
        <v>REVOLVER</v>
      </c>
      <c r="G161" t="s">
        <v>580</v>
      </c>
      <c r="H161" s="1">
        <v>3.13</v>
      </c>
      <c r="I161" s="1">
        <v>3.13</v>
      </c>
      <c r="J161" t="s">
        <v>46</v>
      </c>
      <c r="K161" s="1">
        <v>49.273448000000002</v>
      </c>
      <c r="L161" s="1">
        <v>2</v>
      </c>
      <c r="M161" s="1">
        <v>15.14</v>
      </c>
      <c r="N161" s="1">
        <v>32900</v>
      </c>
      <c r="O161" t="s">
        <v>47</v>
      </c>
      <c r="P161" t="s">
        <v>48</v>
      </c>
      <c r="Q161" t="s">
        <v>49</v>
      </c>
      <c r="R161" t="s">
        <v>50</v>
      </c>
      <c r="S161" t="s">
        <v>50</v>
      </c>
      <c r="T161" s="1">
        <v>41.29210535</v>
      </c>
      <c r="U161" s="1">
        <v>29.371664880000001</v>
      </c>
      <c r="V161" s="1">
        <v>10.4594</v>
      </c>
      <c r="W161" s="1">
        <v>3.7088622</v>
      </c>
      <c r="X161" t="s">
        <v>50</v>
      </c>
      <c r="Y161" s="1">
        <v>0.15679999999999999</v>
      </c>
      <c r="Z161" t="s">
        <v>50</v>
      </c>
      <c r="AA161" s="1">
        <v>2.1315</v>
      </c>
      <c r="AB161" t="s">
        <v>50</v>
      </c>
      <c r="AC161" s="1">
        <v>0.48480000000000001</v>
      </c>
      <c r="AD161" t="s">
        <v>50</v>
      </c>
      <c r="AE161" t="s">
        <v>50</v>
      </c>
      <c r="AF161" s="1">
        <v>0.35000999999999999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579</v>
      </c>
      <c r="AQ161" s="1">
        <v>2347</v>
      </c>
      <c r="AR161" t="s">
        <v>51</v>
      </c>
    </row>
    <row r="162" spans="1:44">
      <c r="A162" s="1">
        <v>53154</v>
      </c>
      <c r="B162" s="1">
        <v>53156</v>
      </c>
      <c r="C162" s="1">
        <v>47553</v>
      </c>
      <c r="D162" t="s">
        <v>581</v>
      </c>
      <c r="E162" t="s">
        <v>582</v>
      </c>
      <c r="F162" t="str">
        <f>VLOOKUP(E162,Tabela2[#All],2,FALSE)</f>
        <v>GANSO</v>
      </c>
      <c r="G162" t="s">
        <v>583</v>
      </c>
      <c r="H162" s="1">
        <v>2.9</v>
      </c>
      <c r="I162" s="1">
        <v>2.9</v>
      </c>
      <c r="J162" t="s">
        <v>46</v>
      </c>
      <c r="K162" s="1">
        <v>50.140056000000001</v>
      </c>
      <c r="L162" s="1">
        <v>2</v>
      </c>
      <c r="M162" s="1">
        <v>14.28</v>
      </c>
      <c r="N162" s="1">
        <v>32900</v>
      </c>
      <c r="O162" t="s">
        <v>47</v>
      </c>
      <c r="P162" t="s">
        <v>48</v>
      </c>
      <c r="Q162" t="s">
        <v>49</v>
      </c>
      <c r="R162" t="s">
        <v>50</v>
      </c>
      <c r="S162" t="s">
        <v>50</v>
      </c>
      <c r="T162" s="1">
        <v>53.90267163</v>
      </c>
      <c r="U162" s="1">
        <v>35.852682260000002</v>
      </c>
      <c r="V162" s="1">
        <v>9.9613999999999994</v>
      </c>
      <c r="W162" s="1">
        <v>3.4363260000000002</v>
      </c>
      <c r="X162" t="s">
        <v>50</v>
      </c>
      <c r="Y162" s="1">
        <v>0.31530000000000002</v>
      </c>
      <c r="Z162" s="1">
        <v>1.4285000000000001</v>
      </c>
      <c r="AA162" s="1">
        <v>2.1377000000000002</v>
      </c>
      <c r="AB162" t="s">
        <v>50</v>
      </c>
      <c r="AC162" s="1">
        <v>1</v>
      </c>
      <c r="AD162" t="s">
        <v>50</v>
      </c>
      <c r="AE162" t="s">
        <v>50</v>
      </c>
      <c r="AF162" s="1">
        <v>0.39900000000000002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582</v>
      </c>
      <c r="AQ162" s="1">
        <v>3366</v>
      </c>
      <c r="AR162" t="s">
        <v>51</v>
      </c>
    </row>
    <row r="163" spans="1:44">
      <c r="A163" s="1">
        <v>35959</v>
      </c>
      <c r="B163" s="1">
        <v>38285</v>
      </c>
      <c r="C163" s="1">
        <v>33717</v>
      </c>
      <c r="D163" t="s">
        <v>584</v>
      </c>
      <c r="E163" t="s">
        <v>585</v>
      </c>
      <c r="F163" t="str">
        <f>VLOOKUP(E163,Tabela2[#All],2,FALSE)</f>
        <v>TAÇA</v>
      </c>
      <c r="G163" t="s">
        <v>586</v>
      </c>
      <c r="H163" s="1">
        <v>5.05</v>
      </c>
      <c r="I163" s="1">
        <v>5.05</v>
      </c>
      <c r="J163" t="s">
        <v>46</v>
      </c>
      <c r="K163" s="1">
        <v>60.481803999999997</v>
      </c>
      <c r="L163" s="1">
        <v>2</v>
      </c>
      <c r="M163" s="1">
        <v>19.510000000000002</v>
      </c>
      <c r="N163" s="1">
        <v>32900</v>
      </c>
      <c r="O163" t="s">
        <v>47</v>
      </c>
      <c r="P163" t="s">
        <v>48</v>
      </c>
      <c r="Q163" t="s">
        <v>49</v>
      </c>
      <c r="R163" t="s">
        <v>50</v>
      </c>
      <c r="S163" t="s">
        <v>50</v>
      </c>
      <c r="T163" s="1">
        <v>62.82014203</v>
      </c>
      <c r="U163" s="1">
        <v>37.55680023</v>
      </c>
      <c r="V163" s="1">
        <v>15.304550000000001</v>
      </c>
      <c r="W163" s="1">
        <v>5.9839469999999997</v>
      </c>
      <c r="X163" t="s">
        <v>50</v>
      </c>
      <c r="Y163" s="1">
        <v>0.25</v>
      </c>
      <c r="Z163" s="1">
        <v>0.75</v>
      </c>
      <c r="AA163" s="1">
        <v>3.5710000000000002</v>
      </c>
      <c r="AB163" t="s">
        <v>50</v>
      </c>
      <c r="AC163" s="1">
        <v>1.0908</v>
      </c>
      <c r="AD163" t="s">
        <v>50</v>
      </c>
      <c r="AE163" t="s">
        <v>50</v>
      </c>
      <c r="AF163" s="1">
        <v>0.39900000000000002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585</v>
      </c>
      <c r="AQ163" s="1">
        <v>3346</v>
      </c>
      <c r="AR163" t="s">
        <v>51</v>
      </c>
    </row>
    <row r="164" spans="1:44">
      <c r="A164" s="1">
        <v>52947</v>
      </c>
      <c r="B164" s="1">
        <v>52950</v>
      </c>
      <c r="C164" s="1">
        <v>47345</v>
      </c>
      <c r="D164" t="s">
        <v>587</v>
      </c>
      <c r="E164" t="s">
        <v>588</v>
      </c>
      <c r="F164" t="str">
        <f>VLOOKUP(E164,Tabela2[#All],2,FALSE)</f>
        <v>REVOLVER</v>
      </c>
      <c r="G164" t="s">
        <v>589</v>
      </c>
      <c r="H164" s="1">
        <v>4.7</v>
      </c>
      <c r="I164" s="1">
        <v>4.7</v>
      </c>
      <c r="J164" t="s">
        <v>46</v>
      </c>
      <c r="K164" s="1">
        <v>59.090909000000003</v>
      </c>
      <c r="L164" s="1">
        <v>2</v>
      </c>
      <c r="M164" s="1">
        <v>18.920000000000002</v>
      </c>
      <c r="N164" s="1">
        <v>32900</v>
      </c>
      <c r="O164" t="s">
        <v>47</v>
      </c>
      <c r="P164" t="s">
        <v>48</v>
      </c>
      <c r="Q164" t="s">
        <v>49</v>
      </c>
      <c r="R164" t="s">
        <v>50</v>
      </c>
      <c r="S164" t="s">
        <v>50</v>
      </c>
      <c r="T164" s="1">
        <v>57.258814119999997</v>
      </c>
      <c r="U164" s="1">
        <v>38.072992829999997</v>
      </c>
      <c r="V164" s="1">
        <v>14.620699999999999</v>
      </c>
      <c r="W164" s="1">
        <v>5.5692180000000002</v>
      </c>
      <c r="X164" t="s">
        <v>50</v>
      </c>
      <c r="Y164" s="1">
        <v>0.40439999999999998</v>
      </c>
      <c r="Z164" t="s">
        <v>50</v>
      </c>
      <c r="AA164" s="1">
        <v>2.5948000000000002</v>
      </c>
      <c r="AB164" t="s">
        <v>50</v>
      </c>
      <c r="AC164" s="1">
        <v>1.0172000000000001</v>
      </c>
      <c r="AD164" t="s">
        <v>50</v>
      </c>
      <c r="AE164" t="s">
        <v>50</v>
      </c>
      <c r="AF164" s="1">
        <v>0.40905000000000002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588</v>
      </c>
      <c r="AQ164" s="1">
        <v>3368</v>
      </c>
      <c r="AR164" t="s">
        <v>51</v>
      </c>
    </row>
    <row r="165" spans="1:44">
      <c r="A165" s="1">
        <v>67658</v>
      </c>
      <c r="B165" s="1">
        <v>67661</v>
      </c>
      <c r="C165" s="1">
        <v>61530</v>
      </c>
      <c r="D165" t="s">
        <v>590</v>
      </c>
      <c r="E165" t="s">
        <v>591</v>
      </c>
      <c r="F165" t="str">
        <f>VLOOKUP(E165,Tabela2[#All],2,FALSE)</f>
        <v>GANSO</v>
      </c>
      <c r="G165" t="s">
        <v>592</v>
      </c>
      <c r="H165" s="1">
        <v>4.07</v>
      </c>
      <c r="I165" s="1">
        <v>4.07</v>
      </c>
      <c r="J165" t="s">
        <v>46</v>
      </c>
      <c r="K165" s="1">
        <v>64.357095000000001</v>
      </c>
      <c r="L165" s="1">
        <v>2</v>
      </c>
      <c r="M165" s="1">
        <v>15.01</v>
      </c>
      <c r="N165" s="1">
        <v>32900</v>
      </c>
      <c r="O165" t="s">
        <v>47</v>
      </c>
      <c r="P165" t="s">
        <v>48</v>
      </c>
      <c r="Q165" t="s">
        <v>49</v>
      </c>
      <c r="R165" t="s">
        <v>50</v>
      </c>
      <c r="S165" t="s">
        <v>50</v>
      </c>
      <c r="T165" s="1">
        <v>62.777809310000002</v>
      </c>
      <c r="U165" s="1">
        <v>37.759123680000002</v>
      </c>
      <c r="V165" s="1">
        <v>12.26315</v>
      </c>
      <c r="W165" s="1">
        <v>4.8227057999999996</v>
      </c>
      <c r="X165" t="s">
        <v>50</v>
      </c>
      <c r="Y165" s="1">
        <v>0.38169999999999998</v>
      </c>
      <c r="Z165" s="1">
        <v>1.87</v>
      </c>
      <c r="AA165" s="1">
        <v>2.8266</v>
      </c>
      <c r="AB165" t="s">
        <v>50</v>
      </c>
      <c r="AC165" s="1">
        <v>1.4543999999999999</v>
      </c>
      <c r="AD165" t="s">
        <v>50</v>
      </c>
      <c r="AE165" t="s">
        <v>50</v>
      </c>
      <c r="AF165" s="1">
        <v>0.40920000000000001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593</v>
      </c>
      <c r="AQ165" s="1">
        <v>6027</v>
      </c>
      <c r="AR165" t="s">
        <v>51</v>
      </c>
    </row>
    <row r="166" spans="1:44">
      <c r="A166" s="1">
        <v>31387</v>
      </c>
      <c r="B166" s="1">
        <v>39048</v>
      </c>
      <c r="C166" s="1">
        <v>30724</v>
      </c>
      <c r="D166" t="s">
        <v>594</v>
      </c>
      <c r="E166" t="s">
        <v>595</v>
      </c>
      <c r="F166" t="str">
        <f>VLOOKUP(E166,Tabela2[#All],2,FALSE)</f>
        <v>CAMPÂNULA GARFO</v>
      </c>
      <c r="G166" t="s">
        <v>596</v>
      </c>
      <c r="H166" s="1">
        <v>2.27</v>
      </c>
      <c r="I166" s="1">
        <v>2.27</v>
      </c>
      <c r="J166" t="s">
        <v>46</v>
      </c>
      <c r="K166" s="1">
        <v>49.369748000000001</v>
      </c>
      <c r="L166" s="1">
        <v>3</v>
      </c>
      <c r="M166" s="1">
        <v>14.28</v>
      </c>
      <c r="N166" s="1">
        <v>32958</v>
      </c>
      <c r="O166" t="s">
        <v>81</v>
      </c>
      <c r="P166" t="s">
        <v>256</v>
      </c>
      <c r="Q166" t="s">
        <v>49</v>
      </c>
      <c r="R166" t="s">
        <v>50</v>
      </c>
      <c r="S166" s="1">
        <v>0.78500000000000003</v>
      </c>
      <c r="T166" s="1">
        <v>28.563852799999999</v>
      </c>
      <c r="U166" s="1">
        <v>17.075413640000001</v>
      </c>
      <c r="V166" s="1">
        <v>0</v>
      </c>
      <c r="W166" s="1">
        <v>2.6898138</v>
      </c>
      <c r="X166" t="s">
        <v>50</v>
      </c>
      <c r="Y166" s="1">
        <v>0.1071</v>
      </c>
      <c r="Z166" s="1">
        <v>0.4</v>
      </c>
      <c r="AA166" t="s">
        <v>50</v>
      </c>
      <c r="AB166" t="s">
        <v>50</v>
      </c>
      <c r="AC166" s="1">
        <v>0.8</v>
      </c>
      <c r="AD166" t="s">
        <v>50</v>
      </c>
      <c r="AE166" s="1">
        <v>0.25</v>
      </c>
      <c r="AF166" s="1">
        <v>0.27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595</v>
      </c>
      <c r="AQ166" s="1">
        <v>1730</v>
      </c>
      <c r="AR166" t="s">
        <v>51</v>
      </c>
    </row>
    <row r="167" spans="1:44">
      <c r="A167" s="1">
        <v>31385</v>
      </c>
      <c r="B167" s="1">
        <v>38885</v>
      </c>
      <c r="C167" s="1">
        <v>30721</v>
      </c>
      <c r="D167" t="s">
        <v>597</v>
      </c>
      <c r="E167" t="s">
        <v>598</v>
      </c>
      <c r="F167" t="str">
        <f>VLOOKUP(E167,Tabela2[#All],2,FALSE)</f>
        <v>SINO</v>
      </c>
      <c r="G167" t="s">
        <v>599</v>
      </c>
      <c r="H167" s="1">
        <v>1.06</v>
      </c>
      <c r="I167" s="1">
        <v>1.06</v>
      </c>
      <c r="J167" t="s">
        <v>46</v>
      </c>
      <c r="K167" s="1">
        <v>63.333333000000003</v>
      </c>
      <c r="L167" s="1">
        <v>5</v>
      </c>
      <c r="M167" s="1">
        <v>9</v>
      </c>
      <c r="N167" s="1">
        <v>32958</v>
      </c>
      <c r="O167" t="s">
        <v>81</v>
      </c>
      <c r="P167" t="s">
        <v>256</v>
      </c>
      <c r="Q167" t="s">
        <v>49</v>
      </c>
      <c r="R167" t="s">
        <v>50</v>
      </c>
      <c r="S167" s="1">
        <v>0.78500000000000003</v>
      </c>
      <c r="T167" s="1">
        <v>16.3485485</v>
      </c>
      <c r="U167" s="1">
        <v>10.64588949</v>
      </c>
      <c r="V167" s="1">
        <v>0</v>
      </c>
      <c r="W167" s="1">
        <v>1.2560363999999999</v>
      </c>
      <c r="X167" t="s">
        <v>50</v>
      </c>
      <c r="Y167" s="1">
        <v>0.12280000000000001</v>
      </c>
      <c r="Z167" s="1">
        <v>0.48</v>
      </c>
      <c r="AA167" t="s">
        <v>50</v>
      </c>
      <c r="AB167" t="s">
        <v>50</v>
      </c>
      <c r="AC167" s="1">
        <v>0.48480000000000001</v>
      </c>
      <c r="AD167" t="s">
        <v>50</v>
      </c>
      <c r="AE167" s="1">
        <v>8.6699999999999999E-2</v>
      </c>
      <c r="AF167" s="1">
        <v>0.16350000000000001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598</v>
      </c>
      <c r="AQ167" s="1">
        <v>1732</v>
      </c>
      <c r="AR167" t="s">
        <v>51</v>
      </c>
    </row>
    <row r="168" spans="1:44">
      <c r="A168" s="1">
        <v>74097</v>
      </c>
      <c r="B168" s="1">
        <v>43435</v>
      </c>
      <c r="C168" s="1">
        <v>38525</v>
      </c>
      <c r="D168" t="s">
        <v>600</v>
      </c>
      <c r="E168" t="s">
        <v>601</v>
      </c>
      <c r="F168" t="str">
        <f>VLOOKUP(E168,Tabela2[#All],2,FALSE)</f>
        <v>Válvula Nível 6</v>
      </c>
      <c r="G168" t="s">
        <v>602</v>
      </c>
      <c r="H168" s="1">
        <v>0.77500000000000002</v>
      </c>
      <c r="I168" s="1">
        <v>0.77500000000000002</v>
      </c>
      <c r="J168" t="s">
        <v>65</v>
      </c>
      <c r="K168" s="1">
        <v>63.413702999999998</v>
      </c>
      <c r="L168" s="1">
        <v>7.5</v>
      </c>
      <c r="M168" s="1">
        <v>9.1660000000000004</v>
      </c>
      <c r="N168" s="1">
        <v>36452</v>
      </c>
      <c r="O168" t="s">
        <v>603</v>
      </c>
      <c r="P168" t="s">
        <v>604</v>
      </c>
      <c r="Q168" t="s">
        <v>350</v>
      </c>
      <c r="R168" t="s">
        <v>50</v>
      </c>
      <c r="S168" t="s">
        <v>50</v>
      </c>
      <c r="T168" s="1">
        <v>15.41423264</v>
      </c>
      <c r="U168" s="1">
        <v>15.01948264</v>
      </c>
      <c r="V168" s="1">
        <v>0</v>
      </c>
      <c r="W168" s="1">
        <v>0</v>
      </c>
      <c r="X168" t="s">
        <v>50</v>
      </c>
      <c r="Y168" t="s">
        <v>50</v>
      </c>
      <c r="Z168" t="s">
        <v>50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s="1">
        <v>6.1699999999999998E-2</v>
      </c>
      <c r="AH168" s="1">
        <v>0.5</v>
      </c>
      <c r="AI168" s="1">
        <v>2.87E-2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605</v>
      </c>
      <c r="AQ168" s="1">
        <v>2223</v>
      </c>
      <c r="AR168" t="s">
        <v>70</v>
      </c>
    </row>
    <row r="169" spans="1:44">
      <c r="A169" s="1">
        <v>74097</v>
      </c>
      <c r="B169" s="1">
        <v>43435</v>
      </c>
      <c r="C169" s="1">
        <v>38525</v>
      </c>
      <c r="D169" t="s">
        <v>600</v>
      </c>
      <c r="E169" t="s">
        <v>601</v>
      </c>
      <c r="F169" t="str">
        <f>VLOOKUP(E169,Tabela2[#All],2,FALSE)</f>
        <v>Válvula Nível 6</v>
      </c>
      <c r="G169" t="s">
        <v>602</v>
      </c>
      <c r="H169" s="1">
        <v>0.77500000000000002</v>
      </c>
      <c r="I169" s="1">
        <v>0.77500000000000002</v>
      </c>
      <c r="J169" t="s">
        <v>65</v>
      </c>
      <c r="K169" s="1">
        <v>63.413702999999998</v>
      </c>
      <c r="L169" s="1">
        <v>7.5</v>
      </c>
      <c r="M169" s="1">
        <v>9.1660000000000004</v>
      </c>
      <c r="N169" s="1">
        <v>36452</v>
      </c>
      <c r="O169" t="s">
        <v>603</v>
      </c>
      <c r="P169" t="s">
        <v>606</v>
      </c>
      <c r="Q169" t="s">
        <v>350</v>
      </c>
      <c r="R169" t="s">
        <v>50</v>
      </c>
      <c r="S169" t="s">
        <v>50</v>
      </c>
      <c r="T169" s="1">
        <v>15.41423264</v>
      </c>
      <c r="U169" s="1">
        <v>15.01948264</v>
      </c>
      <c r="V169" s="1">
        <v>0</v>
      </c>
      <c r="W169" s="1">
        <v>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s="1">
        <v>6.1699999999999998E-2</v>
      </c>
      <c r="AH169" s="1">
        <v>0.5</v>
      </c>
      <c r="AI169" s="1">
        <v>2.87E-2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605</v>
      </c>
      <c r="AQ169" s="1">
        <v>2223</v>
      </c>
      <c r="AR169" t="s">
        <v>70</v>
      </c>
    </row>
    <row r="170" spans="1:44">
      <c r="A170" s="1">
        <v>74097</v>
      </c>
      <c r="B170" s="1">
        <v>43435</v>
      </c>
      <c r="C170" s="1">
        <v>38525</v>
      </c>
      <c r="D170" t="s">
        <v>600</v>
      </c>
      <c r="E170" t="s">
        <v>601</v>
      </c>
      <c r="F170" t="str">
        <f>VLOOKUP(E170,Tabela2[#All],2,FALSE)</f>
        <v>Válvula Nível 6</v>
      </c>
      <c r="G170" t="s">
        <v>602</v>
      </c>
      <c r="H170" s="1">
        <v>0.77500000000000002</v>
      </c>
      <c r="I170" s="1">
        <v>0.77500000000000002</v>
      </c>
      <c r="J170" t="s">
        <v>65</v>
      </c>
      <c r="K170" s="1">
        <v>63.413702999999998</v>
      </c>
      <c r="L170" s="1">
        <v>7.5</v>
      </c>
      <c r="M170" s="1">
        <v>9.1660000000000004</v>
      </c>
      <c r="N170" s="1">
        <v>36452</v>
      </c>
      <c r="O170" t="s">
        <v>603</v>
      </c>
      <c r="P170" t="s">
        <v>607</v>
      </c>
      <c r="Q170" t="s">
        <v>350</v>
      </c>
      <c r="R170" t="s">
        <v>50</v>
      </c>
      <c r="S170" t="s">
        <v>50</v>
      </c>
      <c r="T170" s="1">
        <v>15.41423264</v>
      </c>
      <c r="U170" s="1">
        <v>15.01948264</v>
      </c>
      <c r="V170" s="1">
        <v>0</v>
      </c>
      <c r="W170" s="1">
        <v>0</v>
      </c>
      <c r="X170" t="s">
        <v>50</v>
      </c>
      <c r="Y170" t="s">
        <v>50</v>
      </c>
      <c r="Z170" t="s">
        <v>50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s="1">
        <v>6.1699999999999998E-2</v>
      </c>
      <c r="AH170" s="1">
        <v>0.5</v>
      </c>
      <c r="AI170" s="1">
        <v>2.87E-2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605</v>
      </c>
      <c r="AQ170" s="1">
        <v>2223</v>
      </c>
      <c r="AR170" t="s">
        <v>70</v>
      </c>
    </row>
    <row r="171" spans="1:44">
      <c r="A171" s="1">
        <v>45241</v>
      </c>
      <c r="B171" s="1">
        <v>45248</v>
      </c>
      <c r="C171" s="1">
        <v>40234</v>
      </c>
      <c r="D171" t="s">
        <v>608</v>
      </c>
      <c r="E171" t="s">
        <v>609</v>
      </c>
      <c r="F171" t="str">
        <f>VLOOKUP(E171,Tabela2[#All],2,FALSE)</f>
        <v>FOGAREIRO</v>
      </c>
      <c r="G171" t="s">
        <v>610</v>
      </c>
      <c r="H171" s="1">
        <v>6.64</v>
      </c>
      <c r="I171" s="1">
        <v>6.64</v>
      </c>
      <c r="J171" t="s">
        <v>46</v>
      </c>
      <c r="K171" s="1">
        <v>60.662824000000001</v>
      </c>
      <c r="L171" s="1">
        <v>1</v>
      </c>
      <c r="M171" s="1">
        <v>13.88</v>
      </c>
      <c r="N171" s="1">
        <v>32901</v>
      </c>
      <c r="O171" t="s">
        <v>534</v>
      </c>
      <c r="P171" t="s">
        <v>611</v>
      </c>
      <c r="Q171" t="s">
        <v>49</v>
      </c>
      <c r="R171" t="s">
        <v>50</v>
      </c>
      <c r="S171" t="s">
        <v>50</v>
      </c>
      <c r="T171" s="1">
        <v>106.55209297</v>
      </c>
      <c r="U171" s="1">
        <v>55.35886464</v>
      </c>
      <c r="V171" s="1">
        <v>0</v>
      </c>
      <c r="W171" s="1">
        <v>7.8680016000000004</v>
      </c>
      <c r="X171" t="s">
        <v>50</v>
      </c>
      <c r="Y171" s="1">
        <v>0.69</v>
      </c>
      <c r="Z171" s="1">
        <v>1.6217999999999999</v>
      </c>
      <c r="AA171" s="1">
        <v>9.3673999999999999</v>
      </c>
      <c r="AB171" s="1">
        <v>1.3953</v>
      </c>
      <c r="AC171" s="1">
        <v>1.29</v>
      </c>
      <c r="AD171" t="s">
        <v>50</v>
      </c>
      <c r="AE171" s="1">
        <v>0.28570000000000001</v>
      </c>
      <c r="AF171" s="1">
        <v>0.81810000000000005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609</v>
      </c>
      <c r="AQ171" s="1">
        <v>2677</v>
      </c>
      <c r="AR171" t="s">
        <v>51</v>
      </c>
    </row>
    <row r="172" spans="1:44">
      <c r="A172" s="1">
        <v>89622</v>
      </c>
      <c r="B172" s="1">
        <v>89624</v>
      </c>
      <c r="C172" s="1">
        <v>81655</v>
      </c>
      <c r="D172" t="s">
        <v>612</v>
      </c>
      <c r="E172" t="s">
        <v>613</v>
      </c>
      <c r="F172" t="str">
        <f>VLOOKUP(E172,Tabela2[#All],2,FALSE)</f>
        <v>SAPATÃO</v>
      </c>
      <c r="G172" t="s">
        <v>614</v>
      </c>
      <c r="H172" s="1">
        <v>7.32</v>
      </c>
      <c r="I172" s="1">
        <v>7.32</v>
      </c>
      <c r="J172" t="s">
        <v>46</v>
      </c>
      <c r="K172" s="1">
        <v>57.8125</v>
      </c>
      <c r="L172" s="1">
        <v>1</v>
      </c>
      <c r="M172" s="1">
        <v>12.8</v>
      </c>
      <c r="N172" s="1">
        <v>32901</v>
      </c>
      <c r="O172" t="s">
        <v>534</v>
      </c>
      <c r="P172" t="s">
        <v>615</v>
      </c>
      <c r="Q172" t="s">
        <v>49</v>
      </c>
      <c r="R172" t="s">
        <v>50</v>
      </c>
      <c r="S172" t="s">
        <v>50</v>
      </c>
      <c r="T172" s="1">
        <v>76.603098410000001</v>
      </c>
      <c r="U172" s="1">
        <v>52.979130169999998</v>
      </c>
      <c r="V172" s="1">
        <v>0</v>
      </c>
      <c r="W172" s="1">
        <v>8.6737608000000002</v>
      </c>
      <c r="X172" t="s">
        <v>50</v>
      </c>
      <c r="Y172" s="1">
        <v>0.61660000000000004</v>
      </c>
      <c r="Z172" s="1">
        <v>1.35</v>
      </c>
      <c r="AA172" t="s">
        <v>50</v>
      </c>
      <c r="AB172" t="s">
        <v>50</v>
      </c>
      <c r="AC172" s="1">
        <v>2.1817000000000002</v>
      </c>
      <c r="AD172" t="s">
        <v>50</v>
      </c>
      <c r="AE172" t="s">
        <v>50</v>
      </c>
      <c r="AF172" s="1">
        <v>0.81810000000000005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616</v>
      </c>
      <c r="AQ172" s="1">
        <v>8767</v>
      </c>
      <c r="AR172" t="s">
        <v>51</v>
      </c>
    </row>
    <row r="173" spans="1:44">
      <c r="A173" s="1">
        <v>89622</v>
      </c>
      <c r="B173" s="1">
        <v>89624</v>
      </c>
      <c r="C173" s="1">
        <v>81655</v>
      </c>
      <c r="D173" t="s">
        <v>612</v>
      </c>
      <c r="E173" t="s">
        <v>613</v>
      </c>
      <c r="F173" t="str">
        <f>VLOOKUP(E173,Tabela2[#All],2,FALSE)</f>
        <v>SAPATÃO</v>
      </c>
      <c r="G173" t="s">
        <v>614</v>
      </c>
      <c r="H173" s="1">
        <v>7.32</v>
      </c>
      <c r="I173" s="1">
        <v>7.32</v>
      </c>
      <c r="J173" t="s">
        <v>46</v>
      </c>
      <c r="K173" s="1">
        <v>57.8125</v>
      </c>
      <c r="L173" s="1">
        <v>1</v>
      </c>
      <c r="M173" s="1">
        <v>12.8</v>
      </c>
      <c r="N173" s="1">
        <v>32901</v>
      </c>
      <c r="O173" t="s">
        <v>534</v>
      </c>
      <c r="P173" t="s">
        <v>611</v>
      </c>
      <c r="Q173" t="s">
        <v>49</v>
      </c>
      <c r="R173" t="s">
        <v>50</v>
      </c>
      <c r="S173" t="s">
        <v>50</v>
      </c>
      <c r="T173" s="1">
        <v>76.603098410000001</v>
      </c>
      <c r="U173" s="1">
        <v>52.979130169999998</v>
      </c>
      <c r="V173" s="1">
        <v>0</v>
      </c>
      <c r="W173" s="1">
        <v>8.6737608000000002</v>
      </c>
      <c r="X173" t="s">
        <v>50</v>
      </c>
      <c r="Y173" s="1">
        <v>0.61660000000000004</v>
      </c>
      <c r="Z173" s="1">
        <v>1.35</v>
      </c>
      <c r="AA173" t="s">
        <v>50</v>
      </c>
      <c r="AB173" t="s">
        <v>50</v>
      </c>
      <c r="AC173" s="1">
        <v>2.1817000000000002</v>
      </c>
      <c r="AD173" t="s">
        <v>50</v>
      </c>
      <c r="AE173" t="s">
        <v>50</v>
      </c>
      <c r="AF173" s="1">
        <v>0.81810000000000005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616</v>
      </c>
      <c r="AQ173" s="1">
        <v>8767</v>
      </c>
      <c r="AR173" t="s">
        <v>51</v>
      </c>
    </row>
    <row r="174" spans="1:44">
      <c r="A174" s="1">
        <v>115168</v>
      </c>
      <c r="B174" s="1">
        <v>38710</v>
      </c>
      <c r="C174" s="1">
        <v>31044</v>
      </c>
      <c r="D174" t="s">
        <v>617</v>
      </c>
      <c r="E174" t="s">
        <v>618</v>
      </c>
      <c r="F174" t="str">
        <f>VLOOKUP(E174,Tabela2[#All],2,FALSE)</f>
        <v>TAÇA</v>
      </c>
      <c r="G174" t="s">
        <v>619</v>
      </c>
      <c r="H174" s="1">
        <v>5.22</v>
      </c>
      <c r="I174" s="1">
        <v>5.22</v>
      </c>
      <c r="J174" t="s">
        <v>46</v>
      </c>
      <c r="K174" s="1">
        <v>51.516219999999997</v>
      </c>
      <c r="L174" s="1">
        <v>1</v>
      </c>
      <c r="M174" s="1">
        <v>14.18</v>
      </c>
      <c r="N174" s="1">
        <v>32901</v>
      </c>
      <c r="O174" t="s">
        <v>534</v>
      </c>
      <c r="P174" t="s">
        <v>611</v>
      </c>
      <c r="Q174" t="s">
        <v>49</v>
      </c>
      <c r="R174" t="s">
        <v>50</v>
      </c>
      <c r="S174" t="s">
        <v>50</v>
      </c>
      <c r="T174" s="1">
        <v>87.144908200000003</v>
      </c>
      <c r="U174" s="1">
        <v>59.852569189999997</v>
      </c>
      <c r="V174" s="1">
        <v>0</v>
      </c>
      <c r="W174" s="1">
        <v>6.1853867999999999</v>
      </c>
      <c r="X174" s="1">
        <v>0.95</v>
      </c>
      <c r="Y174" s="1">
        <v>0.26779999999999998</v>
      </c>
      <c r="Z174" s="1">
        <v>0.5454</v>
      </c>
      <c r="AA174" s="1">
        <v>4.0835999999999997</v>
      </c>
      <c r="AB174" t="s">
        <v>50</v>
      </c>
      <c r="AC174" s="1">
        <v>2.3159999999999998</v>
      </c>
      <c r="AD174" t="s">
        <v>50</v>
      </c>
      <c r="AE174" t="s">
        <v>50</v>
      </c>
      <c r="AF174" s="1">
        <v>1.2150000000000001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618</v>
      </c>
      <c r="AQ174" s="1">
        <v>1818</v>
      </c>
      <c r="AR174" t="s">
        <v>51</v>
      </c>
    </row>
    <row r="175" spans="1:44">
      <c r="A175" s="1">
        <v>115167</v>
      </c>
      <c r="B175" s="1">
        <v>38710</v>
      </c>
      <c r="C175" s="1">
        <v>31044</v>
      </c>
      <c r="D175" t="s">
        <v>620</v>
      </c>
      <c r="E175" t="s">
        <v>618</v>
      </c>
      <c r="F175" t="str">
        <f>VLOOKUP(E175,Tabela2[#All],2,FALSE)</f>
        <v>TAÇA</v>
      </c>
      <c r="G175" t="s">
        <v>619</v>
      </c>
      <c r="H175" s="1">
        <v>5.12</v>
      </c>
      <c r="I175" s="1">
        <v>5.12</v>
      </c>
      <c r="J175" t="s">
        <v>46</v>
      </c>
      <c r="K175" s="1">
        <v>51.516219999999997</v>
      </c>
      <c r="L175" s="1">
        <v>1</v>
      </c>
      <c r="M175" s="1">
        <v>14.18</v>
      </c>
      <c r="N175" s="1">
        <v>32901</v>
      </c>
      <c r="O175" t="s">
        <v>534</v>
      </c>
      <c r="P175" t="s">
        <v>611</v>
      </c>
      <c r="Q175" t="s">
        <v>49</v>
      </c>
      <c r="R175" t="s">
        <v>50</v>
      </c>
      <c r="S175" t="s">
        <v>50</v>
      </c>
      <c r="T175" s="1">
        <v>81.461224400000006</v>
      </c>
      <c r="U175" s="1">
        <v>59.852569189999997</v>
      </c>
      <c r="V175" s="1">
        <v>0</v>
      </c>
      <c r="W175" s="1">
        <v>6.0668927999999998</v>
      </c>
      <c r="X175" t="s">
        <v>50</v>
      </c>
      <c r="Y175" s="1">
        <v>0.26779999999999998</v>
      </c>
      <c r="Z175" s="1">
        <v>0.6</v>
      </c>
      <c r="AA175" s="1">
        <v>3.9771999999999998</v>
      </c>
      <c r="AB175" t="s">
        <v>50</v>
      </c>
      <c r="AC175" s="1">
        <v>1.3660000000000001</v>
      </c>
      <c r="AD175" t="s">
        <v>50</v>
      </c>
      <c r="AE175" t="s">
        <v>50</v>
      </c>
      <c r="AF175" s="1">
        <v>1.2150000000000001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618</v>
      </c>
      <c r="AQ175" s="1">
        <v>1818</v>
      </c>
      <c r="AR175" t="s">
        <v>51</v>
      </c>
    </row>
    <row r="176" spans="1:44">
      <c r="A176" s="1">
        <v>95088</v>
      </c>
      <c r="B176" s="1">
        <v>38710</v>
      </c>
      <c r="C176" s="1">
        <v>31044</v>
      </c>
      <c r="D176" t="s">
        <v>621</v>
      </c>
      <c r="E176" t="s">
        <v>618</v>
      </c>
      <c r="F176" t="str">
        <f>VLOOKUP(E176,Tabela2[#All],2,FALSE)</f>
        <v>TAÇA</v>
      </c>
      <c r="G176" t="s">
        <v>619</v>
      </c>
      <c r="H176" s="1">
        <v>5.31</v>
      </c>
      <c r="I176" s="1">
        <v>5.31</v>
      </c>
      <c r="J176" t="s">
        <v>46</v>
      </c>
      <c r="K176" s="1">
        <v>51.516219999999997</v>
      </c>
      <c r="L176" s="1">
        <v>1</v>
      </c>
      <c r="M176" s="1">
        <v>14.18</v>
      </c>
      <c r="N176" s="1">
        <v>32901</v>
      </c>
      <c r="O176" t="s">
        <v>534</v>
      </c>
      <c r="P176" t="s">
        <v>611</v>
      </c>
      <c r="Q176" t="s">
        <v>49</v>
      </c>
      <c r="R176" t="s">
        <v>50</v>
      </c>
      <c r="S176" t="s">
        <v>50</v>
      </c>
      <c r="T176" s="1">
        <v>85.663002129999995</v>
      </c>
      <c r="U176" s="1">
        <v>59.852569189999997</v>
      </c>
      <c r="V176" s="1">
        <v>0</v>
      </c>
      <c r="W176" s="1">
        <v>6.2920313999999999</v>
      </c>
      <c r="X176" s="1">
        <v>0.95</v>
      </c>
      <c r="Y176" s="1">
        <v>0.26779999999999998</v>
      </c>
      <c r="Z176" s="1">
        <v>0.5454</v>
      </c>
      <c r="AA176" s="1">
        <v>4.0835999999999997</v>
      </c>
      <c r="AB176" t="s">
        <v>50</v>
      </c>
      <c r="AC176" s="1">
        <v>2.3159999999999998</v>
      </c>
      <c r="AD176" t="s">
        <v>50</v>
      </c>
      <c r="AE176" t="s">
        <v>50</v>
      </c>
      <c r="AF176" s="1">
        <v>1.2150000000000001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618</v>
      </c>
      <c r="AQ176" s="1">
        <v>1818</v>
      </c>
      <c r="AR176" t="s">
        <v>51</v>
      </c>
    </row>
    <row r="177" spans="1:44">
      <c r="A177" s="1">
        <v>95088</v>
      </c>
      <c r="B177" s="1">
        <v>38710</v>
      </c>
      <c r="C177" s="1">
        <v>31044</v>
      </c>
      <c r="D177" t="s">
        <v>621</v>
      </c>
      <c r="E177" t="s">
        <v>618</v>
      </c>
      <c r="F177" t="str">
        <f>VLOOKUP(E177,Tabela2[#All],2,FALSE)</f>
        <v>TAÇA</v>
      </c>
      <c r="G177" t="s">
        <v>619</v>
      </c>
      <c r="H177" s="1">
        <v>5.31</v>
      </c>
      <c r="I177" s="1">
        <v>5.31</v>
      </c>
      <c r="J177" t="s">
        <v>46</v>
      </c>
      <c r="K177" s="1">
        <v>51.516219999999997</v>
      </c>
      <c r="L177" s="1">
        <v>1</v>
      </c>
      <c r="M177" s="1">
        <v>14.18</v>
      </c>
      <c r="N177" s="1">
        <v>32901</v>
      </c>
      <c r="O177" t="s">
        <v>534</v>
      </c>
      <c r="P177" t="s">
        <v>615</v>
      </c>
      <c r="Q177" t="s">
        <v>49</v>
      </c>
      <c r="R177" t="s">
        <v>50</v>
      </c>
      <c r="S177" t="s">
        <v>50</v>
      </c>
      <c r="T177" s="1">
        <v>85.663002129999995</v>
      </c>
      <c r="U177" s="1">
        <v>59.852569189999997</v>
      </c>
      <c r="V177" s="1">
        <v>0</v>
      </c>
      <c r="W177" s="1">
        <v>6.2920313999999999</v>
      </c>
      <c r="X177" s="1">
        <v>0.95</v>
      </c>
      <c r="Y177" s="1">
        <v>0.26779999999999998</v>
      </c>
      <c r="Z177" s="1">
        <v>0.5454</v>
      </c>
      <c r="AA177" s="1">
        <v>4.0835999999999997</v>
      </c>
      <c r="AB177" t="s">
        <v>50</v>
      </c>
      <c r="AC177" s="1">
        <v>2.3159999999999998</v>
      </c>
      <c r="AD177" t="s">
        <v>50</v>
      </c>
      <c r="AE177" t="s">
        <v>50</v>
      </c>
      <c r="AF177" s="1">
        <v>1.2150000000000001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618</v>
      </c>
      <c r="AQ177" s="1">
        <v>1818</v>
      </c>
      <c r="AR177" t="s">
        <v>51</v>
      </c>
    </row>
    <row r="178" spans="1:44">
      <c r="A178" s="1">
        <v>95108</v>
      </c>
      <c r="B178" s="1">
        <v>38710</v>
      </c>
      <c r="C178" s="1">
        <v>31044</v>
      </c>
      <c r="D178" t="s">
        <v>622</v>
      </c>
      <c r="E178" t="s">
        <v>618</v>
      </c>
      <c r="F178" t="str">
        <f>VLOOKUP(E178,Tabela2[#All],2,FALSE)</f>
        <v>TAÇA</v>
      </c>
      <c r="G178" t="s">
        <v>619</v>
      </c>
      <c r="H178" s="1">
        <v>5.22</v>
      </c>
      <c r="I178" s="1">
        <v>5.22</v>
      </c>
      <c r="J178" t="s">
        <v>46</v>
      </c>
      <c r="K178" s="1">
        <v>51.516219999999997</v>
      </c>
      <c r="L178" s="1">
        <v>1</v>
      </c>
      <c r="M178" s="1">
        <v>14.18</v>
      </c>
      <c r="N178" s="1">
        <v>32901</v>
      </c>
      <c r="O178" t="s">
        <v>534</v>
      </c>
      <c r="P178" t="s">
        <v>611</v>
      </c>
      <c r="Q178" t="s">
        <v>49</v>
      </c>
      <c r="R178" t="s">
        <v>50</v>
      </c>
      <c r="S178" t="s">
        <v>50</v>
      </c>
      <c r="T178" s="1">
        <v>82.462252129999996</v>
      </c>
      <c r="U178" s="1">
        <v>59.852569189999997</v>
      </c>
      <c r="V178" s="1">
        <v>0</v>
      </c>
      <c r="W178" s="1">
        <v>6.1853867999999999</v>
      </c>
      <c r="X178" t="s">
        <v>50</v>
      </c>
      <c r="Y178" s="1">
        <v>0.26779999999999998</v>
      </c>
      <c r="Z178" s="1">
        <v>0.5454</v>
      </c>
      <c r="AA178" s="1">
        <v>3.9771999999999998</v>
      </c>
      <c r="AB178" t="s">
        <v>50</v>
      </c>
      <c r="AC178" s="1">
        <v>1.3660000000000001</v>
      </c>
      <c r="AD178" t="s">
        <v>50</v>
      </c>
      <c r="AE178" t="s">
        <v>50</v>
      </c>
      <c r="AF178" s="1">
        <v>1.2150000000000001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618</v>
      </c>
      <c r="AQ178" s="1">
        <v>1818</v>
      </c>
      <c r="AR178" t="s">
        <v>51</v>
      </c>
    </row>
    <row r="179" spans="1:44">
      <c r="A179" s="1">
        <v>95068</v>
      </c>
      <c r="B179" s="1">
        <v>38569</v>
      </c>
      <c r="C179" s="1">
        <v>31231</v>
      </c>
      <c r="D179" t="s">
        <v>623</v>
      </c>
      <c r="E179" t="s">
        <v>624</v>
      </c>
      <c r="F179" t="str">
        <f>VLOOKUP(E179,Tabela2[#All],2,FALSE)</f>
        <v>REVOLVER</v>
      </c>
      <c r="G179" t="s">
        <v>625</v>
      </c>
      <c r="H179" s="1">
        <v>2.88</v>
      </c>
      <c r="I179" s="1">
        <v>2.88</v>
      </c>
      <c r="J179" t="s">
        <v>46</v>
      </c>
      <c r="K179" s="1">
        <v>58.083067</v>
      </c>
      <c r="L179" s="1">
        <v>3</v>
      </c>
      <c r="M179" s="1">
        <v>15.65</v>
      </c>
      <c r="N179" s="1">
        <v>32901</v>
      </c>
      <c r="O179" t="s">
        <v>534</v>
      </c>
      <c r="P179" t="s">
        <v>615</v>
      </c>
      <c r="Q179" t="s">
        <v>49</v>
      </c>
      <c r="R179" t="s">
        <v>50</v>
      </c>
      <c r="S179" s="1">
        <v>0.66</v>
      </c>
      <c r="T179" s="1">
        <v>31.040386030000001</v>
      </c>
      <c r="U179" s="1">
        <v>20.4670758</v>
      </c>
      <c r="V179" s="1">
        <v>7.9198000000000004</v>
      </c>
      <c r="W179" s="1">
        <v>3.4126272000000002</v>
      </c>
      <c r="X179" t="s">
        <v>50</v>
      </c>
      <c r="Y179" s="1">
        <v>0.16800000000000001</v>
      </c>
      <c r="Z179" t="s">
        <v>50</v>
      </c>
      <c r="AA179" s="1">
        <v>2.0543</v>
      </c>
      <c r="AB179" t="s">
        <v>50</v>
      </c>
      <c r="AC179" s="1">
        <v>0.48480000000000001</v>
      </c>
      <c r="AD179" t="s">
        <v>50</v>
      </c>
      <c r="AE179" t="s">
        <v>50</v>
      </c>
      <c r="AF179" s="1">
        <v>0.2727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624</v>
      </c>
      <c r="AQ179" s="1">
        <v>1819</v>
      </c>
      <c r="AR179" t="s">
        <v>51</v>
      </c>
    </row>
    <row r="180" spans="1:44">
      <c r="A180" s="1">
        <v>95068</v>
      </c>
      <c r="B180" s="1">
        <v>38569</v>
      </c>
      <c r="C180" s="1">
        <v>31231</v>
      </c>
      <c r="D180" t="s">
        <v>623</v>
      </c>
      <c r="E180" t="s">
        <v>624</v>
      </c>
      <c r="F180" t="str">
        <f>VLOOKUP(E180,Tabela2[#All],2,FALSE)</f>
        <v>REVOLVER</v>
      </c>
      <c r="G180" t="s">
        <v>625</v>
      </c>
      <c r="H180" s="1">
        <v>2.88</v>
      </c>
      <c r="I180" s="1">
        <v>2.88</v>
      </c>
      <c r="J180" t="s">
        <v>46</v>
      </c>
      <c r="K180" s="1">
        <v>58.083067</v>
      </c>
      <c r="L180" s="1">
        <v>3</v>
      </c>
      <c r="M180" s="1">
        <v>15.65</v>
      </c>
      <c r="N180" s="1">
        <v>32901</v>
      </c>
      <c r="O180" t="s">
        <v>534</v>
      </c>
      <c r="P180" t="s">
        <v>611</v>
      </c>
      <c r="Q180" t="s">
        <v>49</v>
      </c>
      <c r="R180" t="s">
        <v>50</v>
      </c>
      <c r="S180" s="1">
        <v>0.66</v>
      </c>
      <c r="T180" s="1">
        <v>31.040386030000001</v>
      </c>
      <c r="U180" s="1">
        <v>20.4670758</v>
      </c>
      <c r="V180" s="1">
        <v>7.9198000000000004</v>
      </c>
      <c r="W180" s="1">
        <v>3.4126272000000002</v>
      </c>
      <c r="X180" t="s">
        <v>50</v>
      </c>
      <c r="Y180" s="1">
        <v>0.16800000000000001</v>
      </c>
      <c r="Z180" t="s">
        <v>50</v>
      </c>
      <c r="AA180" s="1">
        <v>2.0543</v>
      </c>
      <c r="AB180" t="s">
        <v>50</v>
      </c>
      <c r="AC180" s="1">
        <v>0.48480000000000001</v>
      </c>
      <c r="AD180" t="s">
        <v>50</v>
      </c>
      <c r="AE180" t="s">
        <v>50</v>
      </c>
      <c r="AF180" s="1">
        <v>0.2727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624</v>
      </c>
      <c r="AQ180" s="1">
        <v>1819</v>
      </c>
      <c r="AR180" t="s">
        <v>51</v>
      </c>
    </row>
    <row r="181" spans="1:44">
      <c r="A181" s="1">
        <v>95128</v>
      </c>
      <c r="B181" s="1">
        <v>38304</v>
      </c>
      <c r="C181" s="1">
        <v>32289</v>
      </c>
      <c r="D181" t="s">
        <v>626</v>
      </c>
      <c r="E181" t="s">
        <v>627</v>
      </c>
      <c r="F181" t="str">
        <f>VLOOKUP(E181,Tabela2[#All],2,FALSE)</f>
        <v>REVOLVER</v>
      </c>
      <c r="G181" t="s">
        <v>628</v>
      </c>
      <c r="H181" s="1">
        <v>2.88</v>
      </c>
      <c r="I181" s="1">
        <v>2.88</v>
      </c>
      <c r="J181" t="s">
        <v>46</v>
      </c>
      <c r="K181" s="1">
        <v>54.104768999999997</v>
      </c>
      <c r="L181" s="1">
        <v>2</v>
      </c>
      <c r="M181" s="1">
        <v>12.79</v>
      </c>
      <c r="N181" s="1">
        <v>32901</v>
      </c>
      <c r="O181" t="s">
        <v>534</v>
      </c>
      <c r="P181" t="s">
        <v>611</v>
      </c>
      <c r="Q181" t="s">
        <v>49</v>
      </c>
      <c r="R181" t="s">
        <v>50</v>
      </c>
      <c r="S181" s="1">
        <v>0.66</v>
      </c>
      <c r="T181" s="1">
        <v>37.774513450000001</v>
      </c>
      <c r="U181" s="1">
        <v>25.697870200000001</v>
      </c>
      <c r="V181" s="1">
        <v>0</v>
      </c>
      <c r="W181" s="1">
        <v>3.4126272000000002</v>
      </c>
      <c r="X181" t="s">
        <v>50</v>
      </c>
      <c r="Y181" s="1">
        <v>0.1908</v>
      </c>
      <c r="Z181" t="s">
        <v>50</v>
      </c>
      <c r="AA181" s="1">
        <v>1.88</v>
      </c>
      <c r="AB181" t="s">
        <v>50</v>
      </c>
      <c r="AC181" s="1">
        <v>0.64480000000000004</v>
      </c>
      <c r="AD181" t="s">
        <v>50</v>
      </c>
      <c r="AE181" t="s">
        <v>50</v>
      </c>
      <c r="AF181" s="1">
        <v>0.40889999999999999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627</v>
      </c>
      <c r="AQ181" s="1">
        <v>1820</v>
      </c>
      <c r="AR181" t="s">
        <v>51</v>
      </c>
    </row>
    <row r="182" spans="1:44">
      <c r="A182" s="1">
        <v>95069</v>
      </c>
      <c r="B182" s="1">
        <v>110460</v>
      </c>
      <c r="C182" s="1">
        <v>93110</v>
      </c>
      <c r="D182" t="s">
        <v>629</v>
      </c>
      <c r="E182" t="s">
        <v>630</v>
      </c>
      <c r="F182" t="str">
        <f>VLOOKUP(E182,Tabela2[#All],2,FALSE)</f>
        <v>TOCO</v>
      </c>
      <c r="G182" t="s">
        <v>631</v>
      </c>
      <c r="H182" s="1">
        <v>5.36</v>
      </c>
      <c r="I182" s="1">
        <v>5.36</v>
      </c>
      <c r="J182" t="s">
        <v>46</v>
      </c>
      <c r="K182" s="1">
        <v>63.905324999999998</v>
      </c>
      <c r="L182" s="1">
        <v>2</v>
      </c>
      <c r="M182" s="1">
        <v>20.28</v>
      </c>
      <c r="N182" s="1">
        <v>32901</v>
      </c>
      <c r="O182" t="s">
        <v>534</v>
      </c>
      <c r="P182" t="s">
        <v>611</v>
      </c>
      <c r="Q182" t="s">
        <v>49</v>
      </c>
      <c r="R182" t="s">
        <v>50</v>
      </c>
      <c r="S182" s="1">
        <v>1.1499999999999999</v>
      </c>
      <c r="T182" s="1">
        <v>59.308363180000001</v>
      </c>
      <c r="U182" s="1">
        <v>39.811945860000002</v>
      </c>
      <c r="V182" s="1">
        <v>16.418800000000001</v>
      </c>
      <c r="W182" s="1">
        <v>6.3512784</v>
      </c>
      <c r="X182" s="1">
        <v>1.05</v>
      </c>
      <c r="Y182" s="1">
        <v>0.34549999999999997</v>
      </c>
      <c r="Z182" s="1">
        <v>0.55000000000000004</v>
      </c>
      <c r="AA182" s="1">
        <v>1.825</v>
      </c>
      <c r="AB182" t="s">
        <v>50</v>
      </c>
      <c r="AC182" s="1">
        <v>1.9179999999999999</v>
      </c>
      <c r="AD182" t="s">
        <v>50</v>
      </c>
      <c r="AE182" t="s">
        <v>50</v>
      </c>
      <c r="AF182" s="1">
        <v>0.40920000000000001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632</v>
      </c>
      <c r="AQ182" s="1">
        <v>8747</v>
      </c>
      <c r="AR182" t="s">
        <v>51</v>
      </c>
    </row>
    <row r="183" spans="1:44">
      <c r="A183" s="1">
        <v>95131</v>
      </c>
      <c r="B183" s="1">
        <v>38899</v>
      </c>
      <c r="C183" s="1">
        <v>31193</v>
      </c>
      <c r="D183" t="s">
        <v>633</v>
      </c>
      <c r="E183" t="s">
        <v>634</v>
      </c>
      <c r="F183" t="str">
        <f>VLOOKUP(E183,Tabela2[#All],2,FALSE)</f>
        <v>TOCO</v>
      </c>
      <c r="G183" t="s">
        <v>635</v>
      </c>
      <c r="H183" s="1">
        <v>5.56</v>
      </c>
      <c r="I183" s="1">
        <v>5.56</v>
      </c>
      <c r="J183" t="s">
        <v>46</v>
      </c>
      <c r="K183" s="1">
        <v>60.191955999999998</v>
      </c>
      <c r="L183" s="1">
        <v>2</v>
      </c>
      <c r="M183" s="1">
        <v>21.88</v>
      </c>
      <c r="N183" s="1">
        <v>32901</v>
      </c>
      <c r="O183" t="s">
        <v>534</v>
      </c>
      <c r="P183" t="s">
        <v>611</v>
      </c>
      <c r="Q183" t="s">
        <v>49</v>
      </c>
      <c r="R183" t="s">
        <v>50</v>
      </c>
      <c r="S183" s="1">
        <v>1.1499999999999999</v>
      </c>
      <c r="T183" s="1">
        <v>63.251459079999997</v>
      </c>
      <c r="U183" s="1">
        <v>41.865154449999999</v>
      </c>
      <c r="V183" s="1">
        <v>0</v>
      </c>
      <c r="W183" s="1">
        <v>6.5882664000000002</v>
      </c>
      <c r="X183" t="s">
        <v>50</v>
      </c>
      <c r="Y183" s="1">
        <v>0.30120000000000002</v>
      </c>
      <c r="Z183" s="1">
        <v>1.03</v>
      </c>
      <c r="AA183" s="1">
        <v>2.64</v>
      </c>
      <c r="AB183" t="s">
        <v>50</v>
      </c>
      <c r="AC183" s="1">
        <v>0.86799999999999999</v>
      </c>
      <c r="AD183" t="s">
        <v>50</v>
      </c>
      <c r="AE183" t="s">
        <v>50</v>
      </c>
      <c r="AF183" s="1">
        <v>0.49980000000000002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634</v>
      </c>
      <c r="AQ183" s="1">
        <v>1882</v>
      </c>
      <c r="AR183" t="s">
        <v>51</v>
      </c>
    </row>
    <row r="184" spans="1:44">
      <c r="A184" s="1">
        <v>95155</v>
      </c>
      <c r="B184" s="1">
        <v>38228</v>
      </c>
      <c r="C184" s="1">
        <v>31269</v>
      </c>
      <c r="D184" t="s">
        <v>636</v>
      </c>
      <c r="E184" t="s">
        <v>637</v>
      </c>
      <c r="F184" t="str">
        <f>VLOOKUP(E184,Tabela2[#All],2,FALSE)</f>
        <v>GANSO</v>
      </c>
      <c r="G184" t="s">
        <v>638</v>
      </c>
      <c r="H184" s="1">
        <v>2.38</v>
      </c>
      <c r="I184" s="1">
        <v>2.38</v>
      </c>
      <c r="J184" t="s">
        <v>46</v>
      </c>
      <c r="K184" s="1">
        <v>60.155743000000001</v>
      </c>
      <c r="L184" s="1">
        <v>3</v>
      </c>
      <c r="M184" s="1">
        <v>15.41</v>
      </c>
      <c r="N184" s="1">
        <v>32901</v>
      </c>
      <c r="O184" t="s">
        <v>534</v>
      </c>
      <c r="P184" t="s">
        <v>611</v>
      </c>
      <c r="Q184" t="s">
        <v>49</v>
      </c>
      <c r="R184" t="s">
        <v>50</v>
      </c>
      <c r="S184" s="1">
        <v>0.66</v>
      </c>
      <c r="T184" s="1">
        <v>35.274322079999997</v>
      </c>
      <c r="U184" s="1">
        <v>21.701958170000001</v>
      </c>
      <c r="V184" s="1">
        <v>0</v>
      </c>
      <c r="W184" s="1">
        <v>2.8201572000000001</v>
      </c>
      <c r="X184" t="s">
        <v>50</v>
      </c>
      <c r="Y184" s="1">
        <v>0.1749</v>
      </c>
      <c r="Z184" s="1">
        <v>0.84370000000000001</v>
      </c>
      <c r="AA184" s="1">
        <v>1.9594940000000001</v>
      </c>
      <c r="AB184" t="s">
        <v>50</v>
      </c>
      <c r="AC184" s="1">
        <v>0.44440000000000002</v>
      </c>
      <c r="AD184" t="s">
        <v>50</v>
      </c>
      <c r="AE184" t="s">
        <v>50</v>
      </c>
      <c r="AF184" s="1">
        <v>0.2727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637</v>
      </c>
      <c r="AQ184" s="1">
        <v>2458</v>
      </c>
      <c r="AR184" t="s">
        <v>51</v>
      </c>
    </row>
    <row r="185" spans="1:44">
      <c r="A185" s="1">
        <v>95155</v>
      </c>
      <c r="B185" s="1">
        <v>38228</v>
      </c>
      <c r="C185" s="1">
        <v>31269</v>
      </c>
      <c r="D185" t="s">
        <v>636</v>
      </c>
      <c r="E185" t="s">
        <v>637</v>
      </c>
      <c r="F185" t="str">
        <f>VLOOKUP(E185,Tabela2[#All],2,FALSE)</f>
        <v>GANSO</v>
      </c>
      <c r="G185" t="s">
        <v>638</v>
      </c>
      <c r="H185" s="1">
        <v>2.38</v>
      </c>
      <c r="I185" s="1">
        <v>2.38</v>
      </c>
      <c r="J185" t="s">
        <v>46</v>
      </c>
      <c r="K185" s="1">
        <v>60.155743000000001</v>
      </c>
      <c r="L185" s="1">
        <v>3</v>
      </c>
      <c r="M185" s="1">
        <v>15.41</v>
      </c>
      <c r="N185" s="1">
        <v>32901</v>
      </c>
      <c r="O185" t="s">
        <v>534</v>
      </c>
      <c r="P185" t="s">
        <v>615</v>
      </c>
      <c r="Q185" t="s">
        <v>49</v>
      </c>
      <c r="R185" t="s">
        <v>50</v>
      </c>
      <c r="S185" s="1">
        <v>0.66</v>
      </c>
      <c r="T185" s="1">
        <v>35.274322079999997</v>
      </c>
      <c r="U185" s="1">
        <v>21.701958170000001</v>
      </c>
      <c r="V185" s="1">
        <v>0</v>
      </c>
      <c r="W185" s="1">
        <v>2.8201572000000001</v>
      </c>
      <c r="X185" t="s">
        <v>50</v>
      </c>
      <c r="Y185" s="1">
        <v>0.1749</v>
      </c>
      <c r="Z185" s="1">
        <v>0.84370000000000001</v>
      </c>
      <c r="AA185" s="1">
        <v>1.9594940000000001</v>
      </c>
      <c r="AB185" t="s">
        <v>50</v>
      </c>
      <c r="AC185" s="1">
        <v>0.44440000000000002</v>
      </c>
      <c r="AD185" t="s">
        <v>50</v>
      </c>
      <c r="AE185" t="s">
        <v>50</v>
      </c>
      <c r="AF185" s="1">
        <v>0.2727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637</v>
      </c>
      <c r="AQ185" s="1">
        <v>2458</v>
      </c>
      <c r="AR185" t="s">
        <v>51</v>
      </c>
    </row>
    <row r="186" spans="1:44">
      <c r="A186" s="1">
        <v>95298</v>
      </c>
      <c r="B186" s="1">
        <v>38036</v>
      </c>
      <c r="C186" s="1">
        <v>31282</v>
      </c>
      <c r="D186" t="s">
        <v>639</v>
      </c>
      <c r="E186" t="s">
        <v>640</v>
      </c>
      <c r="F186" t="str">
        <f>VLOOKUP(E186,Tabela2[#All],2,FALSE)</f>
        <v>COELHO</v>
      </c>
      <c r="G186" t="s">
        <v>641</v>
      </c>
      <c r="H186" s="1">
        <v>2.5499999999999998</v>
      </c>
      <c r="I186" s="1">
        <v>2.5499999999999998</v>
      </c>
      <c r="J186" t="s">
        <v>46</v>
      </c>
      <c r="K186" s="1">
        <v>59.813665</v>
      </c>
      <c r="L186" s="1">
        <v>3</v>
      </c>
      <c r="M186" s="1">
        <v>16.100000000000001</v>
      </c>
      <c r="N186" s="1">
        <v>32901</v>
      </c>
      <c r="O186" t="s">
        <v>534</v>
      </c>
      <c r="P186" t="s">
        <v>611</v>
      </c>
      <c r="Q186" t="s">
        <v>49</v>
      </c>
      <c r="R186" t="s">
        <v>50</v>
      </c>
      <c r="S186" s="1">
        <v>0.66</v>
      </c>
      <c r="T186" s="1">
        <v>38.480189269999997</v>
      </c>
      <c r="U186" s="1">
        <v>24.344169430000001</v>
      </c>
      <c r="V186" s="1">
        <v>0</v>
      </c>
      <c r="W186" s="1">
        <v>3.0215969999999999</v>
      </c>
      <c r="X186" t="s">
        <v>50</v>
      </c>
      <c r="Y186" s="1">
        <v>0.1608</v>
      </c>
      <c r="Z186" s="1">
        <v>0.55900000000000005</v>
      </c>
      <c r="AA186" s="1">
        <v>1.9871000000000001</v>
      </c>
      <c r="AB186" t="s">
        <v>50</v>
      </c>
      <c r="AC186" s="1">
        <v>0.72719999999999996</v>
      </c>
      <c r="AD186" t="s">
        <v>50</v>
      </c>
      <c r="AE186" t="s">
        <v>50</v>
      </c>
      <c r="AF186" s="1">
        <v>0.33329999999999999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640</v>
      </c>
      <c r="AQ186" s="1">
        <v>1822</v>
      </c>
      <c r="AR186" t="s">
        <v>51</v>
      </c>
    </row>
    <row r="187" spans="1:44">
      <c r="A187" s="1">
        <v>95298</v>
      </c>
      <c r="B187" s="1">
        <v>38036</v>
      </c>
      <c r="C187" s="1">
        <v>31282</v>
      </c>
      <c r="D187" t="s">
        <v>639</v>
      </c>
      <c r="E187" t="s">
        <v>640</v>
      </c>
      <c r="F187" t="str">
        <f>VLOOKUP(E187,Tabela2[#All],2,FALSE)</f>
        <v>COELHO</v>
      </c>
      <c r="G187" t="s">
        <v>641</v>
      </c>
      <c r="H187" s="1">
        <v>2.5499999999999998</v>
      </c>
      <c r="I187" s="1">
        <v>2.5499999999999998</v>
      </c>
      <c r="J187" t="s">
        <v>46</v>
      </c>
      <c r="K187" s="1">
        <v>59.813665</v>
      </c>
      <c r="L187" s="1">
        <v>3</v>
      </c>
      <c r="M187" s="1">
        <v>16.100000000000001</v>
      </c>
      <c r="N187" s="1">
        <v>32901</v>
      </c>
      <c r="O187" t="s">
        <v>534</v>
      </c>
      <c r="P187" t="s">
        <v>615</v>
      </c>
      <c r="Q187" t="s">
        <v>49</v>
      </c>
      <c r="R187" t="s">
        <v>50</v>
      </c>
      <c r="S187" s="1">
        <v>0.66</v>
      </c>
      <c r="T187" s="1">
        <v>38.480189269999997</v>
      </c>
      <c r="U187" s="1">
        <v>24.344169430000001</v>
      </c>
      <c r="V187" s="1">
        <v>0</v>
      </c>
      <c r="W187" s="1">
        <v>3.0215969999999999</v>
      </c>
      <c r="X187" t="s">
        <v>50</v>
      </c>
      <c r="Y187" s="1">
        <v>0.1608</v>
      </c>
      <c r="Z187" s="1">
        <v>0.55900000000000005</v>
      </c>
      <c r="AA187" s="1">
        <v>1.9871000000000001</v>
      </c>
      <c r="AB187" t="s">
        <v>50</v>
      </c>
      <c r="AC187" s="1">
        <v>0.72719999999999996</v>
      </c>
      <c r="AD187" t="s">
        <v>50</v>
      </c>
      <c r="AE187" t="s">
        <v>50</v>
      </c>
      <c r="AF187" s="1">
        <v>0.33329999999999999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640</v>
      </c>
      <c r="AQ187" s="1">
        <v>1822</v>
      </c>
      <c r="AR187" t="s">
        <v>51</v>
      </c>
    </row>
    <row r="188" spans="1:44">
      <c r="A188" s="1">
        <v>95070</v>
      </c>
      <c r="B188" s="1">
        <v>44001</v>
      </c>
      <c r="C188" s="1">
        <v>39068</v>
      </c>
      <c r="D188" t="s">
        <v>642</v>
      </c>
      <c r="E188" t="s">
        <v>643</v>
      </c>
      <c r="F188" t="str">
        <f>VLOOKUP(E188,Tabela2[#All],2,FALSE)</f>
        <v>TAÇA</v>
      </c>
      <c r="G188" t="s">
        <v>644</v>
      </c>
      <c r="H188" s="1">
        <v>7.63</v>
      </c>
      <c r="I188" s="1">
        <v>7.63</v>
      </c>
      <c r="J188" t="s">
        <v>46</v>
      </c>
      <c r="K188" s="1">
        <v>58.918297000000003</v>
      </c>
      <c r="L188" s="1">
        <v>1</v>
      </c>
      <c r="M188" s="1">
        <v>17.38</v>
      </c>
      <c r="N188" s="1">
        <v>32901</v>
      </c>
      <c r="O188" t="s">
        <v>534</v>
      </c>
      <c r="P188" t="s">
        <v>611</v>
      </c>
      <c r="Q188" t="s">
        <v>49</v>
      </c>
      <c r="R188" t="s">
        <v>50</v>
      </c>
      <c r="S188" t="s">
        <v>50</v>
      </c>
      <c r="T188" s="1">
        <v>111.75966037000001</v>
      </c>
      <c r="U188" s="1">
        <v>81.354038250000002</v>
      </c>
      <c r="V188" s="1">
        <v>0</v>
      </c>
      <c r="W188" s="1">
        <v>9.0410921999999996</v>
      </c>
      <c r="X188" t="s">
        <v>50</v>
      </c>
      <c r="Y188" s="1">
        <v>0.41499999999999998</v>
      </c>
      <c r="Z188" s="1">
        <v>0.70589999999999997</v>
      </c>
      <c r="AA188" s="1">
        <v>4.0960000000000001</v>
      </c>
      <c r="AB188" t="s">
        <v>50</v>
      </c>
      <c r="AC188" s="1">
        <v>1.2764</v>
      </c>
      <c r="AD188" t="s">
        <v>50</v>
      </c>
      <c r="AE188" t="s">
        <v>50</v>
      </c>
      <c r="AF188" s="1">
        <v>0.79800000000000004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643</v>
      </c>
      <c r="AQ188" s="1">
        <v>2411</v>
      </c>
      <c r="AR188" t="s">
        <v>51</v>
      </c>
    </row>
    <row r="189" spans="1:44">
      <c r="A189" s="1">
        <v>95308</v>
      </c>
      <c r="B189" s="1">
        <v>43718</v>
      </c>
      <c r="C189" s="1">
        <v>38779</v>
      </c>
      <c r="D189" t="s">
        <v>645</v>
      </c>
      <c r="E189" t="s">
        <v>646</v>
      </c>
      <c r="F189" t="str">
        <f>VLOOKUP(E189,Tabela2[#All],2,FALSE)</f>
        <v>REVOLVER</v>
      </c>
      <c r="G189" t="s">
        <v>647</v>
      </c>
      <c r="H189" s="1">
        <v>4.3</v>
      </c>
      <c r="I189" s="1">
        <v>4.3</v>
      </c>
      <c r="J189" t="s">
        <v>46</v>
      </c>
      <c r="K189" s="1">
        <v>62.658228000000001</v>
      </c>
      <c r="L189" s="1">
        <v>2</v>
      </c>
      <c r="M189" s="1">
        <v>15.8</v>
      </c>
      <c r="N189" s="1">
        <v>32901</v>
      </c>
      <c r="O189" t="s">
        <v>534</v>
      </c>
      <c r="P189" t="s">
        <v>611</v>
      </c>
      <c r="Q189" t="s">
        <v>49</v>
      </c>
      <c r="R189" t="s">
        <v>50</v>
      </c>
      <c r="S189" s="1">
        <v>1.59</v>
      </c>
      <c r="T189" s="1">
        <v>50.606893730000003</v>
      </c>
      <c r="U189" s="1">
        <v>35.410141670000002</v>
      </c>
      <c r="V189" s="1">
        <v>12.626250000000001</v>
      </c>
      <c r="W189" s="1">
        <v>5.0952419999999998</v>
      </c>
      <c r="X189" t="s">
        <v>50</v>
      </c>
      <c r="Y189" s="1">
        <v>0.24629999999999999</v>
      </c>
      <c r="Z189" t="s">
        <v>50</v>
      </c>
      <c r="AA189" s="1">
        <v>1.735714</v>
      </c>
      <c r="AB189" t="s">
        <v>50</v>
      </c>
      <c r="AC189" s="1">
        <v>0.72719999999999996</v>
      </c>
      <c r="AD189" t="s">
        <v>50</v>
      </c>
      <c r="AE189" t="s">
        <v>50</v>
      </c>
      <c r="AF189" s="1">
        <v>0.40889999999999999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648</v>
      </c>
      <c r="AQ189" s="1">
        <v>11327</v>
      </c>
      <c r="AR189" t="s">
        <v>51</v>
      </c>
    </row>
    <row r="190" spans="1:44">
      <c r="A190" s="1">
        <v>95308</v>
      </c>
      <c r="B190" s="1">
        <v>43718</v>
      </c>
      <c r="C190" s="1">
        <v>38779</v>
      </c>
      <c r="D190" t="s">
        <v>645</v>
      </c>
      <c r="E190" t="s">
        <v>646</v>
      </c>
      <c r="F190" t="str">
        <f>VLOOKUP(E190,Tabela2[#All],2,FALSE)</f>
        <v>REVOLVER</v>
      </c>
      <c r="G190" t="s">
        <v>647</v>
      </c>
      <c r="H190" s="1">
        <v>4.3</v>
      </c>
      <c r="I190" s="1">
        <v>4.3</v>
      </c>
      <c r="J190" t="s">
        <v>46</v>
      </c>
      <c r="K190" s="1">
        <v>62.658228000000001</v>
      </c>
      <c r="L190" s="1">
        <v>2</v>
      </c>
      <c r="M190" s="1">
        <v>15.8</v>
      </c>
      <c r="N190" s="1">
        <v>32901</v>
      </c>
      <c r="O190" t="s">
        <v>534</v>
      </c>
      <c r="P190" t="s">
        <v>615</v>
      </c>
      <c r="Q190" t="s">
        <v>49</v>
      </c>
      <c r="R190" t="s">
        <v>50</v>
      </c>
      <c r="S190" s="1">
        <v>1.59</v>
      </c>
      <c r="T190" s="1">
        <v>50.606893730000003</v>
      </c>
      <c r="U190" s="1">
        <v>35.410141670000002</v>
      </c>
      <c r="V190" s="1">
        <v>12.626250000000001</v>
      </c>
      <c r="W190" s="1">
        <v>5.0952419999999998</v>
      </c>
      <c r="X190" t="s">
        <v>50</v>
      </c>
      <c r="Y190" s="1">
        <v>0.24629999999999999</v>
      </c>
      <c r="Z190" t="s">
        <v>50</v>
      </c>
      <c r="AA190" s="1">
        <v>1.735714</v>
      </c>
      <c r="AB190" t="s">
        <v>50</v>
      </c>
      <c r="AC190" s="1">
        <v>0.72719999999999996</v>
      </c>
      <c r="AD190" t="s">
        <v>50</v>
      </c>
      <c r="AE190" t="s">
        <v>50</v>
      </c>
      <c r="AF190" s="1">
        <v>0.40889999999999999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648</v>
      </c>
      <c r="AQ190" s="1">
        <v>11327</v>
      </c>
      <c r="AR190" t="s">
        <v>51</v>
      </c>
    </row>
    <row r="191" spans="1:44">
      <c r="A191" s="1">
        <v>95328</v>
      </c>
      <c r="B191" s="1">
        <v>43999</v>
      </c>
      <c r="C191" s="1">
        <v>39064</v>
      </c>
      <c r="D191" t="s">
        <v>649</v>
      </c>
      <c r="E191" t="s">
        <v>650</v>
      </c>
      <c r="F191" t="str">
        <f>VLOOKUP(E191,Tabela2[#All],2,FALSE)</f>
        <v>GANSO</v>
      </c>
      <c r="G191" t="s">
        <v>651</v>
      </c>
      <c r="H191" s="1">
        <v>4.12</v>
      </c>
      <c r="I191" s="1">
        <v>4.12</v>
      </c>
      <c r="J191" t="s">
        <v>46</v>
      </c>
      <c r="K191" s="1">
        <v>62.585970000000003</v>
      </c>
      <c r="L191" s="1">
        <v>2</v>
      </c>
      <c r="M191" s="1">
        <v>14.54</v>
      </c>
      <c r="N191" s="1">
        <v>32901</v>
      </c>
      <c r="O191" t="s">
        <v>534</v>
      </c>
      <c r="P191" t="s">
        <v>611</v>
      </c>
      <c r="Q191" t="s">
        <v>49</v>
      </c>
      <c r="R191" t="s">
        <v>50</v>
      </c>
      <c r="S191" s="1">
        <v>1.59</v>
      </c>
      <c r="T191" s="1">
        <v>50.01754055</v>
      </c>
      <c r="U191" s="1">
        <v>32.741084600000001</v>
      </c>
      <c r="V191" s="1">
        <v>0</v>
      </c>
      <c r="W191" s="1">
        <v>4.8819527999999996</v>
      </c>
      <c r="X191" t="s">
        <v>50</v>
      </c>
      <c r="Y191" s="1">
        <v>0.1454</v>
      </c>
      <c r="Z191" s="1">
        <v>0.92</v>
      </c>
      <c r="AA191" s="1">
        <v>2.0659999999999998</v>
      </c>
      <c r="AB191" t="s">
        <v>50</v>
      </c>
      <c r="AC191" s="1">
        <v>0.72719999999999996</v>
      </c>
      <c r="AD191" t="s">
        <v>50</v>
      </c>
      <c r="AE191" t="s">
        <v>50</v>
      </c>
      <c r="AF191" s="1">
        <v>0.40500000000000003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652</v>
      </c>
      <c r="AQ191" s="1">
        <v>7707</v>
      </c>
      <c r="AR191" t="s">
        <v>51</v>
      </c>
    </row>
    <row r="192" spans="1:44">
      <c r="A192" s="1">
        <v>95329</v>
      </c>
      <c r="B192" s="1">
        <v>44000</v>
      </c>
      <c r="C192" s="1">
        <v>39066</v>
      </c>
      <c r="D192" t="s">
        <v>653</v>
      </c>
      <c r="E192" t="s">
        <v>654</v>
      </c>
      <c r="F192" t="str">
        <f>VLOOKUP(E192,Tabela2[#All],2,FALSE)</f>
        <v>COELHO</v>
      </c>
      <c r="G192" t="s">
        <v>655</v>
      </c>
      <c r="H192" s="1">
        <v>4.28</v>
      </c>
      <c r="I192" s="1">
        <v>4.28</v>
      </c>
      <c r="J192" t="s">
        <v>46</v>
      </c>
      <c r="K192" s="1">
        <v>56.818182</v>
      </c>
      <c r="L192" s="1">
        <v>2</v>
      </c>
      <c r="M192" s="1">
        <v>17.600000000000001</v>
      </c>
      <c r="N192" s="1">
        <v>32900</v>
      </c>
      <c r="O192" t="s">
        <v>47</v>
      </c>
      <c r="P192" t="s">
        <v>611</v>
      </c>
      <c r="Q192" t="s">
        <v>49</v>
      </c>
      <c r="R192" t="s">
        <v>50</v>
      </c>
      <c r="S192" t="s">
        <v>50</v>
      </c>
      <c r="T192" s="1">
        <v>52.880339069999998</v>
      </c>
      <c r="U192" s="1">
        <v>37.689251949999999</v>
      </c>
      <c r="V192" s="1">
        <v>0</v>
      </c>
      <c r="W192" s="1">
        <v>5.0715431999999998</v>
      </c>
      <c r="X192" t="s">
        <v>50</v>
      </c>
      <c r="Y192" s="1">
        <v>0.185</v>
      </c>
      <c r="Z192" s="1">
        <v>0.45</v>
      </c>
      <c r="AA192" s="1">
        <v>1.9574</v>
      </c>
      <c r="AB192" t="s">
        <v>50</v>
      </c>
      <c r="AC192" s="1">
        <v>0.56599999999999995</v>
      </c>
      <c r="AD192" t="s">
        <v>50</v>
      </c>
      <c r="AE192" t="s">
        <v>50</v>
      </c>
      <c r="AF192" s="1">
        <v>0.59889999999999999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654</v>
      </c>
      <c r="AQ192" s="1">
        <v>2412</v>
      </c>
      <c r="AR192" t="s">
        <v>51</v>
      </c>
    </row>
    <row r="193" spans="1:44">
      <c r="A193" s="1">
        <v>95330</v>
      </c>
      <c r="B193" s="1">
        <v>83778</v>
      </c>
      <c r="C193" s="1">
        <v>76060</v>
      </c>
      <c r="D193" t="s">
        <v>656</v>
      </c>
      <c r="E193" t="s">
        <v>657</v>
      </c>
      <c r="F193" t="str">
        <f>VLOOKUP(E193,Tabela2[#All],2,FALSE)</f>
        <v>TOCO</v>
      </c>
      <c r="G193" t="s">
        <v>658</v>
      </c>
      <c r="H193" s="1">
        <v>8.9700000000000006</v>
      </c>
      <c r="I193" s="1">
        <v>8.9700000000000006</v>
      </c>
      <c r="J193" t="s">
        <v>46</v>
      </c>
      <c r="K193" s="1">
        <v>57.220708000000002</v>
      </c>
      <c r="L193" s="1">
        <v>1</v>
      </c>
      <c r="M193" s="1">
        <v>18.350000000000001</v>
      </c>
      <c r="N193" s="1">
        <v>32901</v>
      </c>
      <c r="O193" t="s">
        <v>534</v>
      </c>
      <c r="P193" t="s">
        <v>611</v>
      </c>
      <c r="Q193" t="s">
        <v>49</v>
      </c>
      <c r="R193" t="s">
        <v>50</v>
      </c>
      <c r="S193" s="1">
        <v>3.18</v>
      </c>
      <c r="T193" s="1">
        <v>112.10452119999999</v>
      </c>
      <c r="U193" s="1">
        <v>79.613125929999995</v>
      </c>
      <c r="V193" s="1">
        <v>0</v>
      </c>
      <c r="W193" s="1">
        <v>10.628911799999999</v>
      </c>
      <c r="X193" s="1">
        <v>1.1000000000000001</v>
      </c>
      <c r="Y193" s="1">
        <v>0.5</v>
      </c>
      <c r="Z193" s="1">
        <v>0.87</v>
      </c>
      <c r="AA193" s="1">
        <v>3.0554999999999999</v>
      </c>
      <c r="AB193" t="s">
        <v>50</v>
      </c>
      <c r="AC193" s="1">
        <v>3.2816999999999998</v>
      </c>
      <c r="AD193" t="s">
        <v>50</v>
      </c>
      <c r="AE193" t="s">
        <v>50</v>
      </c>
      <c r="AF193" s="1">
        <v>1.6362000000000001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659</v>
      </c>
      <c r="AQ193" s="1">
        <v>7847</v>
      </c>
      <c r="AR193" t="s">
        <v>51</v>
      </c>
    </row>
    <row r="194" spans="1:44">
      <c r="A194" s="1">
        <v>95348</v>
      </c>
      <c r="B194" s="1">
        <v>54699</v>
      </c>
      <c r="C194" s="1">
        <v>48789</v>
      </c>
      <c r="D194" t="s">
        <v>660</v>
      </c>
      <c r="E194" t="s">
        <v>661</v>
      </c>
      <c r="F194" t="str">
        <f>VLOOKUP(E194,Tabela2[#All],2,FALSE)</f>
        <v>REVOLVER</v>
      </c>
      <c r="G194" t="s">
        <v>662</v>
      </c>
      <c r="H194" s="1">
        <v>4.62</v>
      </c>
      <c r="I194" s="1">
        <v>4.62</v>
      </c>
      <c r="J194" t="s">
        <v>46</v>
      </c>
      <c r="K194" s="1">
        <v>57.606679</v>
      </c>
      <c r="L194" s="1">
        <v>2</v>
      </c>
      <c r="M194" s="1">
        <v>21.56</v>
      </c>
      <c r="N194" s="1">
        <v>32901</v>
      </c>
      <c r="O194" t="s">
        <v>534</v>
      </c>
      <c r="P194" t="s">
        <v>611</v>
      </c>
      <c r="Q194" t="s">
        <v>49</v>
      </c>
      <c r="R194" t="s">
        <v>50</v>
      </c>
      <c r="S194" s="1">
        <v>1.641</v>
      </c>
      <c r="T194" s="1">
        <v>64.135838699999994</v>
      </c>
      <c r="U194" s="1">
        <v>42.406826039999999</v>
      </c>
      <c r="V194" s="1">
        <v>0</v>
      </c>
      <c r="W194" s="1">
        <v>5.4744228000000001</v>
      </c>
      <c r="X194" t="s">
        <v>50</v>
      </c>
      <c r="Y194" s="1">
        <v>0.35870000000000002</v>
      </c>
      <c r="Z194" t="s">
        <v>50</v>
      </c>
      <c r="AA194" s="1">
        <v>4.4253400000000003</v>
      </c>
      <c r="AB194" t="s">
        <v>50</v>
      </c>
      <c r="AC194" s="1">
        <v>0.64480000000000004</v>
      </c>
      <c r="AD194" t="s">
        <v>50</v>
      </c>
      <c r="AE194" t="s">
        <v>50</v>
      </c>
      <c r="AF194" s="1">
        <v>0.39900000000000002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661</v>
      </c>
      <c r="AQ194" s="1">
        <v>3667</v>
      </c>
      <c r="AR194" t="s">
        <v>51</v>
      </c>
    </row>
    <row r="195" spans="1:44">
      <c r="A195" s="1">
        <v>95449</v>
      </c>
      <c r="B195" s="1">
        <v>37978</v>
      </c>
      <c r="C195" s="1">
        <v>32247</v>
      </c>
      <c r="D195" t="s">
        <v>663</v>
      </c>
      <c r="E195" t="s">
        <v>664</v>
      </c>
      <c r="F195" t="str">
        <f>VLOOKUP(E195,Tabela2[#All],2,FALSE)</f>
        <v>PINO CONCHA</v>
      </c>
      <c r="G195" t="s">
        <v>665</v>
      </c>
      <c r="H195" s="1">
        <v>1.27</v>
      </c>
      <c r="I195" s="1">
        <v>1.27</v>
      </c>
      <c r="J195" t="s">
        <v>46</v>
      </c>
      <c r="K195" s="1">
        <v>49.242424</v>
      </c>
      <c r="L195" s="1">
        <v>5</v>
      </c>
      <c r="M195" s="1">
        <v>17.16</v>
      </c>
      <c r="N195" s="1">
        <v>32901</v>
      </c>
      <c r="O195" t="s">
        <v>534</v>
      </c>
      <c r="P195" t="s">
        <v>611</v>
      </c>
      <c r="Q195" t="s">
        <v>49</v>
      </c>
      <c r="R195" t="s">
        <v>50</v>
      </c>
      <c r="S195" s="1">
        <v>0.14000000000000001</v>
      </c>
      <c r="T195" s="1">
        <v>27.635344360000001</v>
      </c>
      <c r="U195" s="1">
        <v>13.881630169999999</v>
      </c>
      <c r="V195" s="1">
        <v>0</v>
      </c>
      <c r="W195" s="1">
        <v>1.5048737999999999</v>
      </c>
      <c r="X195" s="1">
        <v>0.2</v>
      </c>
      <c r="Y195" s="1">
        <v>7.9200000000000007E-2</v>
      </c>
      <c r="Z195" s="1">
        <v>1.8461399999999999</v>
      </c>
      <c r="AA195" s="1">
        <v>3.3953000000000002</v>
      </c>
      <c r="AB195" t="s">
        <v>50</v>
      </c>
      <c r="AC195" s="1">
        <v>0.31159999999999999</v>
      </c>
      <c r="AD195" t="s">
        <v>50</v>
      </c>
      <c r="AE195" t="s">
        <v>50</v>
      </c>
      <c r="AF195" s="1">
        <v>0.16200000000000001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664</v>
      </c>
      <c r="AQ195" s="1">
        <v>1824</v>
      </c>
      <c r="AR195" t="s">
        <v>51</v>
      </c>
    </row>
    <row r="196" spans="1:44">
      <c r="A196" s="1">
        <v>95453</v>
      </c>
      <c r="B196" s="1">
        <v>38808</v>
      </c>
      <c r="C196" s="1">
        <v>32241</v>
      </c>
      <c r="D196" t="s">
        <v>666</v>
      </c>
      <c r="E196" t="s">
        <v>667</v>
      </c>
      <c r="F196" t="str">
        <f>VLOOKUP(E196,Tabela2[#All],2,FALSE)</f>
        <v>PINO CONCHA</v>
      </c>
      <c r="G196" t="s">
        <v>668</v>
      </c>
      <c r="H196" s="1">
        <v>1.6</v>
      </c>
      <c r="I196" s="1">
        <v>1.6</v>
      </c>
      <c r="J196" t="s">
        <v>46</v>
      </c>
      <c r="K196" s="1">
        <v>54.596729000000003</v>
      </c>
      <c r="L196" s="1">
        <v>4</v>
      </c>
      <c r="M196" s="1">
        <v>17.73</v>
      </c>
      <c r="N196" s="1">
        <v>32901</v>
      </c>
      <c r="O196" t="s">
        <v>534</v>
      </c>
      <c r="P196" t="s">
        <v>611</v>
      </c>
      <c r="Q196" t="s">
        <v>49</v>
      </c>
      <c r="R196" s="1">
        <v>0.13500000000000001</v>
      </c>
      <c r="S196" t="s">
        <v>50</v>
      </c>
      <c r="T196" s="1">
        <v>40.923624099999998</v>
      </c>
      <c r="U196" s="1">
        <v>20.651564619999998</v>
      </c>
      <c r="V196" s="1">
        <v>0</v>
      </c>
      <c r="W196" s="1">
        <v>1.895904</v>
      </c>
      <c r="X196" s="1">
        <v>0.2</v>
      </c>
      <c r="Y196" s="1">
        <v>0.2</v>
      </c>
      <c r="Z196" s="1">
        <v>2.7906</v>
      </c>
      <c r="AA196" s="1">
        <v>3.9952999999999999</v>
      </c>
      <c r="AB196" t="s">
        <v>50</v>
      </c>
      <c r="AC196" s="1">
        <v>0.4612</v>
      </c>
      <c r="AD196" t="s">
        <v>50</v>
      </c>
      <c r="AE196" t="s">
        <v>50</v>
      </c>
      <c r="AF196" s="1">
        <v>0.24990000000000001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667</v>
      </c>
      <c r="AQ196" s="1">
        <v>1825</v>
      </c>
      <c r="AR196" t="s">
        <v>51</v>
      </c>
    </row>
    <row r="197" spans="1:44">
      <c r="A197" s="1">
        <v>115667</v>
      </c>
      <c r="B197" s="1">
        <v>38808</v>
      </c>
      <c r="C197" s="1">
        <v>32241</v>
      </c>
      <c r="D197" t="s">
        <v>669</v>
      </c>
      <c r="E197" t="s">
        <v>667</v>
      </c>
      <c r="F197" t="str">
        <f>VLOOKUP(E197,Tabela2[#All],2,FALSE)</f>
        <v>PINO CONCHA</v>
      </c>
      <c r="G197" t="s">
        <v>668</v>
      </c>
      <c r="H197" s="1">
        <v>1.6</v>
      </c>
      <c r="I197" s="1">
        <v>1.6</v>
      </c>
      <c r="J197" t="s">
        <v>46</v>
      </c>
      <c r="K197" s="1">
        <v>54.596729000000003</v>
      </c>
      <c r="L197" s="1">
        <v>4</v>
      </c>
      <c r="M197" s="1">
        <v>17.73</v>
      </c>
      <c r="N197" s="1">
        <v>32901</v>
      </c>
      <c r="O197" t="s">
        <v>534</v>
      </c>
      <c r="P197" t="s">
        <v>611</v>
      </c>
      <c r="Q197" t="s">
        <v>49</v>
      </c>
      <c r="R197" s="1">
        <v>0.13500000000000001</v>
      </c>
      <c r="S197" t="s">
        <v>50</v>
      </c>
      <c r="T197" s="1">
        <v>41.713124100000002</v>
      </c>
      <c r="U197" s="1">
        <v>20.651564619999998</v>
      </c>
      <c r="V197" s="1">
        <v>0</v>
      </c>
      <c r="W197" s="1">
        <v>1.895904</v>
      </c>
      <c r="X197" s="1">
        <v>0.2</v>
      </c>
      <c r="Y197" s="1">
        <v>0.2</v>
      </c>
      <c r="Z197" s="1">
        <v>2.7906</v>
      </c>
      <c r="AA197" s="1">
        <v>3.9952999999999999</v>
      </c>
      <c r="AB197" t="s">
        <v>50</v>
      </c>
      <c r="AC197" s="1">
        <v>0.4612</v>
      </c>
      <c r="AD197" t="s">
        <v>50</v>
      </c>
      <c r="AE197" t="s">
        <v>50</v>
      </c>
      <c r="AF197" s="1">
        <v>0.24990000000000001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667</v>
      </c>
      <c r="AQ197" s="1">
        <v>1825</v>
      </c>
      <c r="AR197" t="s">
        <v>51</v>
      </c>
    </row>
    <row r="198" spans="1:44">
      <c r="A198" s="1">
        <v>97168</v>
      </c>
      <c r="B198" s="1">
        <v>38312</v>
      </c>
      <c r="C198" s="1">
        <v>32243</v>
      </c>
      <c r="D198" t="s">
        <v>670</v>
      </c>
      <c r="E198" t="s">
        <v>671</v>
      </c>
      <c r="F198" t="str">
        <f>VLOOKUP(E198,Tabela2[#All],2,FALSE)</f>
        <v>PINO CONCHA</v>
      </c>
      <c r="G198" t="s">
        <v>672</v>
      </c>
      <c r="H198" s="1">
        <v>2.37</v>
      </c>
      <c r="I198" s="1">
        <v>2.37</v>
      </c>
      <c r="J198" t="s">
        <v>46</v>
      </c>
      <c r="K198" s="1">
        <v>57.991266000000003</v>
      </c>
      <c r="L198" s="1">
        <v>4</v>
      </c>
      <c r="M198" s="1">
        <v>22.9</v>
      </c>
      <c r="N198" s="1">
        <v>32901</v>
      </c>
      <c r="O198" t="s">
        <v>534</v>
      </c>
      <c r="P198" t="s">
        <v>611</v>
      </c>
      <c r="Q198" t="s">
        <v>49</v>
      </c>
      <c r="R198" t="s">
        <v>50</v>
      </c>
      <c r="S198" s="1">
        <v>0.23</v>
      </c>
      <c r="T198" s="1">
        <v>45.632693670000002</v>
      </c>
      <c r="U198" s="1">
        <v>22.430535450000001</v>
      </c>
      <c r="V198" s="1">
        <v>0</v>
      </c>
      <c r="W198" s="1">
        <v>2.8083078000000001</v>
      </c>
      <c r="X198" s="1">
        <v>0.2</v>
      </c>
      <c r="Y198" s="1">
        <v>0.20799999999999999</v>
      </c>
      <c r="Z198" s="1">
        <v>3.09</v>
      </c>
      <c r="AA198" s="1">
        <v>3.9550000000000001</v>
      </c>
      <c r="AB198" t="s">
        <v>50</v>
      </c>
      <c r="AC198" s="1">
        <v>0.54520000000000002</v>
      </c>
      <c r="AD198" t="s">
        <v>50</v>
      </c>
      <c r="AE198" t="s">
        <v>50</v>
      </c>
      <c r="AF198" s="1">
        <v>0.24990000000000001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671</v>
      </c>
      <c r="AQ198" s="1">
        <v>1826</v>
      </c>
      <c r="AR198" t="s">
        <v>51</v>
      </c>
    </row>
    <row r="199" spans="1:44">
      <c r="A199" s="1">
        <v>95452</v>
      </c>
      <c r="B199" s="1">
        <v>38144</v>
      </c>
      <c r="C199" s="1">
        <v>32245</v>
      </c>
      <c r="D199" t="s">
        <v>673</v>
      </c>
      <c r="E199" t="s">
        <v>674</v>
      </c>
      <c r="F199" t="str">
        <f>VLOOKUP(E199,Tabela2[#All],2,FALSE)</f>
        <v>PINO CONCHA</v>
      </c>
      <c r="G199" t="s">
        <v>675</v>
      </c>
      <c r="H199" s="1">
        <v>2.2549999999999999</v>
      </c>
      <c r="I199" s="1">
        <v>2.2549999999999999</v>
      </c>
      <c r="J199" t="s">
        <v>46</v>
      </c>
      <c r="K199" s="1">
        <v>55.406613</v>
      </c>
      <c r="L199" s="1">
        <v>4</v>
      </c>
      <c r="M199" s="1">
        <v>22.38</v>
      </c>
      <c r="N199" s="1">
        <v>32901</v>
      </c>
      <c r="O199" t="s">
        <v>534</v>
      </c>
      <c r="P199" t="s">
        <v>611</v>
      </c>
      <c r="Q199" t="s">
        <v>49</v>
      </c>
      <c r="R199" t="s">
        <v>50</v>
      </c>
      <c r="S199" t="s">
        <v>50</v>
      </c>
      <c r="T199" s="1">
        <v>44.686847180000001</v>
      </c>
      <c r="U199" s="1">
        <v>22.255567930000002</v>
      </c>
      <c r="V199" s="1">
        <v>0</v>
      </c>
      <c r="W199" s="1">
        <v>2.6720397</v>
      </c>
      <c r="X199" s="1">
        <v>0.2</v>
      </c>
      <c r="Y199" s="1">
        <v>0.17199999999999999</v>
      </c>
      <c r="Z199" s="1">
        <v>3</v>
      </c>
      <c r="AA199" s="1">
        <v>4.0999999999999996</v>
      </c>
      <c r="AB199" t="s">
        <v>50</v>
      </c>
      <c r="AC199" s="1">
        <v>0.54520000000000002</v>
      </c>
      <c r="AD199" t="s">
        <v>50</v>
      </c>
      <c r="AE199" t="s">
        <v>50</v>
      </c>
      <c r="AF199" s="1">
        <v>0.2046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674</v>
      </c>
      <c r="AQ199" s="1">
        <v>1827</v>
      </c>
      <c r="AR199" t="s">
        <v>51</v>
      </c>
    </row>
    <row r="200" spans="1:44">
      <c r="A200" s="1">
        <v>32946</v>
      </c>
      <c r="B200" s="1">
        <v>38941</v>
      </c>
      <c r="C200" s="1">
        <v>32285</v>
      </c>
      <c r="D200" t="s">
        <v>676</v>
      </c>
      <c r="E200" t="s">
        <v>677</v>
      </c>
      <c r="F200" t="str">
        <f>VLOOKUP(E200,Tabela2[#All],2,FALSE)</f>
        <v>PATA DE VACA</v>
      </c>
      <c r="G200" t="s">
        <v>678</v>
      </c>
      <c r="H200" s="1">
        <v>2.86</v>
      </c>
      <c r="I200" s="1">
        <v>2.86</v>
      </c>
      <c r="J200" t="s">
        <v>46</v>
      </c>
      <c r="K200" s="1">
        <v>55.643878999999998</v>
      </c>
      <c r="L200" s="1">
        <v>3</v>
      </c>
      <c r="M200" s="1">
        <v>18.87</v>
      </c>
      <c r="N200" s="1">
        <v>32901</v>
      </c>
      <c r="O200" t="s">
        <v>534</v>
      </c>
      <c r="P200" t="s">
        <v>615</v>
      </c>
      <c r="Q200" t="s">
        <v>49</v>
      </c>
      <c r="R200" t="s">
        <v>50</v>
      </c>
      <c r="S200" t="s">
        <v>50</v>
      </c>
      <c r="T200" s="1">
        <v>33.533186630000003</v>
      </c>
      <c r="U200" s="1">
        <v>24.535256279999999</v>
      </c>
      <c r="V200" s="1">
        <v>0</v>
      </c>
      <c r="W200" s="1">
        <v>3.3889284000000002</v>
      </c>
      <c r="X200" t="s">
        <v>50</v>
      </c>
      <c r="Y200" s="1">
        <v>0.14699999999999999</v>
      </c>
      <c r="Z200" t="s">
        <v>50</v>
      </c>
      <c r="AA200" s="1">
        <v>1.5713999999999999</v>
      </c>
      <c r="AB200" t="s">
        <v>50</v>
      </c>
      <c r="AC200" s="1">
        <v>0.308</v>
      </c>
      <c r="AD200" t="s">
        <v>50</v>
      </c>
      <c r="AE200" t="s">
        <v>50</v>
      </c>
      <c r="AF200" s="1">
        <v>0.33329999999999999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677</v>
      </c>
      <c r="AQ200" s="1">
        <v>1828</v>
      </c>
      <c r="AR200" t="s">
        <v>51</v>
      </c>
    </row>
    <row r="201" spans="1:44">
      <c r="A201" s="1">
        <v>89420</v>
      </c>
      <c r="B201" s="1">
        <v>89422</v>
      </c>
      <c r="C201" s="1">
        <v>81483</v>
      </c>
      <c r="D201" t="s">
        <v>679</v>
      </c>
      <c r="E201" t="s">
        <v>680</v>
      </c>
      <c r="F201" t="str">
        <f>VLOOKUP(E201,Tabela2[#All],2,FALSE)</f>
        <v>PATA DE VACA</v>
      </c>
      <c r="G201" t="s">
        <v>681</v>
      </c>
      <c r="H201" s="1">
        <v>2.88</v>
      </c>
      <c r="I201" s="1">
        <v>2.88</v>
      </c>
      <c r="J201" t="s">
        <v>46</v>
      </c>
      <c r="K201" s="1">
        <v>55.574043000000003</v>
      </c>
      <c r="L201" s="1">
        <v>3</v>
      </c>
      <c r="M201" s="1">
        <v>18.03</v>
      </c>
      <c r="N201" s="1">
        <v>32901</v>
      </c>
      <c r="O201" t="s">
        <v>534</v>
      </c>
      <c r="P201" t="s">
        <v>615</v>
      </c>
      <c r="Q201" t="s">
        <v>49</v>
      </c>
      <c r="R201" t="s">
        <v>50</v>
      </c>
      <c r="S201" t="s">
        <v>50</v>
      </c>
      <c r="T201" s="1">
        <v>32.976437930000003</v>
      </c>
      <c r="U201" s="1">
        <v>22.360407219999999</v>
      </c>
      <c r="V201" s="1">
        <v>0</v>
      </c>
      <c r="W201" s="1">
        <v>3.4126272000000002</v>
      </c>
      <c r="X201" s="1">
        <v>0.75</v>
      </c>
      <c r="Y201" s="1">
        <v>9.9900000000000003E-2</v>
      </c>
      <c r="Z201" t="s">
        <v>50</v>
      </c>
      <c r="AA201" s="1">
        <v>1.4882</v>
      </c>
      <c r="AB201" t="s">
        <v>50</v>
      </c>
      <c r="AC201" s="1">
        <v>1.2056</v>
      </c>
      <c r="AD201" t="s">
        <v>50</v>
      </c>
      <c r="AE201" t="s">
        <v>50</v>
      </c>
      <c r="AF201" s="1">
        <v>0.2727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682</v>
      </c>
      <c r="AQ201" s="1">
        <v>8728</v>
      </c>
      <c r="AR201" t="s">
        <v>51</v>
      </c>
    </row>
    <row r="202" spans="1:44">
      <c r="A202" s="1">
        <v>89420</v>
      </c>
      <c r="B202" s="1">
        <v>89422</v>
      </c>
      <c r="C202" s="1">
        <v>81483</v>
      </c>
      <c r="D202" t="s">
        <v>679</v>
      </c>
      <c r="E202" t="s">
        <v>680</v>
      </c>
      <c r="F202" t="str">
        <f>VLOOKUP(E202,Tabela2[#All],2,FALSE)</f>
        <v>PATA DE VACA</v>
      </c>
      <c r="G202" t="s">
        <v>681</v>
      </c>
      <c r="H202" s="1">
        <v>2.88</v>
      </c>
      <c r="I202" s="1">
        <v>2.88</v>
      </c>
      <c r="J202" t="s">
        <v>46</v>
      </c>
      <c r="K202" s="1">
        <v>55.574043000000003</v>
      </c>
      <c r="L202" s="1">
        <v>3</v>
      </c>
      <c r="M202" s="1">
        <v>18.03</v>
      </c>
      <c r="N202" s="1">
        <v>32901</v>
      </c>
      <c r="O202" t="s">
        <v>534</v>
      </c>
      <c r="P202" t="s">
        <v>611</v>
      </c>
      <c r="Q202" t="s">
        <v>49</v>
      </c>
      <c r="R202" t="s">
        <v>50</v>
      </c>
      <c r="S202" t="s">
        <v>50</v>
      </c>
      <c r="T202" s="1">
        <v>32.976437930000003</v>
      </c>
      <c r="U202" s="1">
        <v>22.360407219999999</v>
      </c>
      <c r="V202" s="1">
        <v>0</v>
      </c>
      <c r="W202" s="1">
        <v>3.4126272000000002</v>
      </c>
      <c r="X202" s="1">
        <v>0.75</v>
      </c>
      <c r="Y202" s="1">
        <v>9.9900000000000003E-2</v>
      </c>
      <c r="Z202" t="s">
        <v>50</v>
      </c>
      <c r="AA202" s="1">
        <v>1.4882</v>
      </c>
      <c r="AB202" t="s">
        <v>50</v>
      </c>
      <c r="AC202" s="1">
        <v>1.2056</v>
      </c>
      <c r="AD202" t="s">
        <v>50</v>
      </c>
      <c r="AE202" t="s">
        <v>50</v>
      </c>
      <c r="AF202" s="1">
        <v>0.2727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682</v>
      </c>
      <c r="AQ202" s="1">
        <v>8728</v>
      </c>
      <c r="AR202" t="s">
        <v>51</v>
      </c>
    </row>
    <row r="203" spans="1:44">
      <c r="A203" s="1">
        <v>32145</v>
      </c>
      <c r="B203" s="1">
        <v>38218</v>
      </c>
      <c r="C203" s="1">
        <v>31473</v>
      </c>
      <c r="D203" t="s">
        <v>683</v>
      </c>
      <c r="E203" t="s">
        <v>684</v>
      </c>
      <c r="F203" t="str">
        <f>VLOOKUP(E203,Tabela2[#All],2,FALSE)</f>
        <v>SAPATÃO</v>
      </c>
      <c r="G203" t="s">
        <v>685</v>
      </c>
      <c r="H203" s="1">
        <v>4.6500000000000004</v>
      </c>
      <c r="I203" s="1">
        <v>4.6500000000000004</v>
      </c>
      <c r="J203" t="s">
        <v>46</v>
      </c>
      <c r="K203" s="1">
        <v>49.069540000000003</v>
      </c>
      <c r="L203" s="1">
        <v>1</v>
      </c>
      <c r="M203" s="1">
        <v>10.210000000000001</v>
      </c>
      <c r="N203" s="1">
        <v>32901</v>
      </c>
      <c r="O203" t="s">
        <v>534</v>
      </c>
      <c r="P203" t="s">
        <v>615</v>
      </c>
      <c r="Q203" t="s">
        <v>49</v>
      </c>
      <c r="R203" t="s">
        <v>50</v>
      </c>
      <c r="S203" s="1">
        <v>0.33300000000000002</v>
      </c>
      <c r="T203" s="1">
        <v>59.776973550000001</v>
      </c>
      <c r="U203" s="1">
        <v>43.426264500000002</v>
      </c>
      <c r="V203" t="s">
        <v>50</v>
      </c>
      <c r="W203" s="1">
        <v>5.5099710000000002</v>
      </c>
      <c r="X203" t="s">
        <v>50</v>
      </c>
      <c r="Y203" s="1">
        <v>0.35899999999999999</v>
      </c>
      <c r="Z203" s="1">
        <v>0.5454</v>
      </c>
      <c r="AA203" s="1">
        <v>1.2665999999999999</v>
      </c>
      <c r="AB203" t="s">
        <v>50</v>
      </c>
      <c r="AC203" s="1">
        <v>1</v>
      </c>
      <c r="AD203" t="s">
        <v>50</v>
      </c>
      <c r="AE203" t="s">
        <v>50</v>
      </c>
      <c r="AF203" s="1">
        <v>0.79800000000000004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s="1">
        <v>0.73170000000000002</v>
      </c>
      <c r="AO203" t="s">
        <v>50</v>
      </c>
      <c r="AP203" t="s">
        <v>684</v>
      </c>
      <c r="AQ203" s="1">
        <v>368</v>
      </c>
      <c r="AR203" t="s">
        <v>51</v>
      </c>
    </row>
    <row r="204" spans="1:44">
      <c r="A204" s="1">
        <v>32145</v>
      </c>
      <c r="B204" s="1">
        <v>38218</v>
      </c>
      <c r="C204" s="1">
        <v>31473</v>
      </c>
      <c r="D204" t="s">
        <v>683</v>
      </c>
      <c r="E204" t="s">
        <v>684</v>
      </c>
      <c r="F204" t="str">
        <f>VLOOKUP(E204,Tabela2[#All],2,FALSE)</f>
        <v>SAPATÃO</v>
      </c>
      <c r="G204" t="s">
        <v>685</v>
      </c>
      <c r="H204" s="1">
        <v>4.6500000000000004</v>
      </c>
      <c r="I204" s="1">
        <v>4.6500000000000004</v>
      </c>
      <c r="J204" t="s">
        <v>46</v>
      </c>
      <c r="K204" s="1">
        <v>49.069540000000003</v>
      </c>
      <c r="L204" s="1">
        <v>1</v>
      </c>
      <c r="M204" s="1">
        <v>10.210000000000001</v>
      </c>
      <c r="N204" s="1">
        <v>32901</v>
      </c>
      <c r="O204" t="s">
        <v>534</v>
      </c>
      <c r="P204" t="s">
        <v>611</v>
      </c>
      <c r="Q204" t="s">
        <v>49</v>
      </c>
      <c r="R204" t="s">
        <v>50</v>
      </c>
      <c r="S204" s="1">
        <v>0.33300000000000002</v>
      </c>
      <c r="T204" s="1">
        <v>59.776973550000001</v>
      </c>
      <c r="U204" s="1">
        <v>43.426264500000002</v>
      </c>
      <c r="V204" t="s">
        <v>50</v>
      </c>
      <c r="W204" s="1">
        <v>5.5099710000000002</v>
      </c>
      <c r="X204" t="s">
        <v>50</v>
      </c>
      <c r="Y204" s="1">
        <v>0.35899999999999999</v>
      </c>
      <c r="Z204" s="1">
        <v>0.5454</v>
      </c>
      <c r="AA204" s="1">
        <v>1.2665999999999999</v>
      </c>
      <c r="AB204" t="s">
        <v>50</v>
      </c>
      <c r="AC204" s="1">
        <v>1</v>
      </c>
      <c r="AD204" t="s">
        <v>50</v>
      </c>
      <c r="AE204" t="s">
        <v>50</v>
      </c>
      <c r="AF204" s="1">
        <v>0.79800000000000004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s="1">
        <v>0.73170000000000002</v>
      </c>
      <c r="AO204" t="s">
        <v>50</v>
      </c>
      <c r="AP204" t="s">
        <v>684</v>
      </c>
      <c r="AQ204" s="1">
        <v>368</v>
      </c>
      <c r="AR204" t="s">
        <v>51</v>
      </c>
    </row>
    <row r="205" spans="1:44">
      <c r="A205" s="1">
        <v>44014</v>
      </c>
      <c r="B205" s="1">
        <v>44078</v>
      </c>
      <c r="C205" s="1">
        <v>39080</v>
      </c>
      <c r="D205" t="s">
        <v>686</v>
      </c>
      <c r="E205" t="s">
        <v>687</v>
      </c>
      <c r="F205" t="str">
        <f>VLOOKUP(E205,Tabela2[#All],2,FALSE)</f>
        <v>ESTRELA</v>
      </c>
      <c r="G205" t="s">
        <v>688</v>
      </c>
      <c r="H205" s="1">
        <v>3.1</v>
      </c>
      <c r="I205" s="1">
        <v>3.1</v>
      </c>
      <c r="J205" t="s">
        <v>46</v>
      </c>
      <c r="K205" s="1">
        <v>55.677039999999998</v>
      </c>
      <c r="L205" s="1">
        <v>2</v>
      </c>
      <c r="M205" s="1">
        <v>11.89</v>
      </c>
      <c r="N205" s="1">
        <v>32901</v>
      </c>
      <c r="O205" t="s">
        <v>534</v>
      </c>
      <c r="P205" t="s">
        <v>611</v>
      </c>
      <c r="Q205" t="s">
        <v>49</v>
      </c>
      <c r="R205" t="s">
        <v>50</v>
      </c>
      <c r="S205" t="s">
        <v>50</v>
      </c>
      <c r="T205" s="1">
        <v>39.127747599999999</v>
      </c>
      <c r="U205" s="1">
        <v>22.527797159999999</v>
      </c>
      <c r="V205" s="1">
        <v>0</v>
      </c>
      <c r="W205" s="1">
        <v>3.673314</v>
      </c>
      <c r="X205" t="s">
        <v>50</v>
      </c>
      <c r="Y205" s="1">
        <v>0.26329999999999998</v>
      </c>
      <c r="Z205" s="1">
        <v>0.33510000000000001</v>
      </c>
      <c r="AA205" s="1">
        <v>2.1427999999999998</v>
      </c>
      <c r="AB205" t="s">
        <v>50</v>
      </c>
      <c r="AC205" s="1">
        <v>0.61519999999999997</v>
      </c>
      <c r="AD205" t="s">
        <v>50</v>
      </c>
      <c r="AE205" s="1">
        <v>0.35</v>
      </c>
      <c r="AF205" s="1">
        <v>0.40920000000000001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687</v>
      </c>
      <c r="AQ205" s="1">
        <v>2422</v>
      </c>
      <c r="AR205" t="s">
        <v>51</v>
      </c>
    </row>
    <row r="206" spans="1:44">
      <c r="A206" s="1">
        <v>86266</v>
      </c>
      <c r="B206" s="1">
        <v>86267</v>
      </c>
      <c r="C206" s="1">
        <v>78475</v>
      </c>
      <c r="D206" t="s">
        <v>689</v>
      </c>
      <c r="E206" t="s">
        <v>690</v>
      </c>
      <c r="F206" t="str">
        <f>VLOOKUP(E206,Tabela2[#All],2,FALSE)</f>
        <v>SAPATÃO</v>
      </c>
      <c r="G206" t="s">
        <v>691</v>
      </c>
      <c r="H206" s="1">
        <v>1.417</v>
      </c>
      <c r="I206" s="1">
        <v>1.417</v>
      </c>
      <c r="J206" t="s">
        <v>46</v>
      </c>
      <c r="K206" s="1">
        <v>42.378048999999997</v>
      </c>
      <c r="L206" s="1">
        <v>3</v>
      </c>
      <c r="M206" s="1">
        <v>9.84</v>
      </c>
      <c r="N206" s="1">
        <v>32958</v>
      </c>
      <c r="O206" t="s">
        <v>81</v>
      </c>
      <c r="P206" t="s">
        <v>615</v>
      </c>
      <c r="Q206" t="s">
        <v>49</v>
      </c>
      <c r="R206" t="s">
        <v>50</v>
      </c>
      <c r="S206" s="1">
        <v>0.3</v>
      </c>
      <c r="T206" s="1">
        <v>19.37222994</v>
      </c>
      <c r="U206" s="1">
        <v>11.89494844</v>
      </c>
      <c r="V206" s="1">
        <v>0</v>
      </c>
      <c r="W206" s="1">
        <v>1.6790599799999999</v>
      </c>
      <c r="X206" s="1">
        <v>0.65</v>
      </c>
      <c r="Y206" s="1">
        <v>0.2336</v>
      </c>
      <c r="Z206" s="1">
        <v>0.15</v>
      </c>
      <c r="AA206" t="s">
        <v>50</v>
      </c>
      <c r="AB206" t="s">
        <v>50</v>
      </c>
      <c r="AC206" s="1">
        <v>1.3772</v>
      </c>
      <c r="AD206" t="s">
        <v>50</v>
      </c>
      <c r="AE206" t="s">
        <v>50</v>
      </c>
      <c r="AF206" s="1">
        <v>0.23066400000000001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692</v>
      </c>
      <c r="AQ206" s="1">
        <v>8307</v>
      </c>
      <c r="AR206" t="s">
        <v>51</v>
      </c>
    </row>
    <row r="207" spans="1:44">
      <c r="A207" s="1">
        <v>86167</v>
      </c>
      <c r="B207" s="1">
        <v>86169</v>
      </c>
      <c r="C207" s="1">
        <v>78396</v>
      </c>
      <c r="D207" t="s">
        <v>693</v>
      </c>
      <c r="E207" t="s">
        <v>694</v>
      </c>
      <c r="F207" t="str">
        <f>VLOOKUP(E207,Tabela2[#All],2,FALSE)</f>
        <v>TERMINAL OLHAL</v>
      </c>
      <c r="G207" t="s">
        <v>695</v>
      </c>
      <c r="H207" s="1">
        <v>1.1299999999999999</v>
      </c>
      <c r="I207" s="1">
        <v>1.1299999999999999</v>
      </c>
      <c r="J207" t="s">
        <v>46</v>
      </c>
      <c r="K207" s="1">
        <v>56.364874</v>
      </c>
      <c r="L207" s="1">
        <v>6</v>
      </c>
      <c r="M207" s="1">
        <v>14.69</v>
      </c>
      <c r="N207" s="1">
        <v>32901</v>
      </c>
      <c r="O207" t="s">
        <v>534</v>
      </c>
      <c r="P207" t="s">
        <v>615</v>
      </c>
      <c r="Q207" t="s">
        <v>49</v>
      </c>
      <c r="R207" t="s">
        <v>50</v>
      </c>
      <c r="S207" t="s">
        <v>50</v>
      </c>
      <c r="T207" s="1">
        <v>17.144157180000001</v>
      </c>
      <c r="U207" s="1">
        <v>9.9592492099999994</v>
      </c>
      <c r="V207" s="1">
        <v>0</v>
      </c>
      <c r="W207" s="1">
        <v>1.3389822</v>
      </c>
      <c r="X207" t="s">
        <v>50</v>
      </c>
      <c r="Y207" s="1">
        <v>8.3199999999999996E-2</v>
      </c>
      <c r="Z207" s="1">
        <v>0.4</v>
      </c>
      <c r="AA207" s="1">
        <v>1.4571000000000001</v>
      </c>
      <c r="AB207" t="s">
        <v>50</v>
      </c>
      <c r="AC207" s="1">
        <v>0.25</v>
      </c>
      <c r="AD207" t="s">
        <v>50</v>
      </c>
      <c r="AE207" t="s">
        <v>50</v>
      </c>
      <c r="AF207" s="1">
        <v>0.12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696</v>
      </c>
      <c r="AQ207" s="1">
        <v>8227</v>
      </c>
      <c r="AR207" t="s">
        <v>51</v>
      </c>
    </row>
    <row r="208" spans="1:44">
      <c r="A208" s="1">
        <v>86215</v>
      </c>
      <c r="B208" s="1">
        <v>86217</v>
      </c>
      <c r="C208" s="1">
        <v>78442</v>
      </c>
      <c r="D208" t="s">
        <v>697</v>
      </c>
      <c r="E208" t="s">
        <v>698</v>
      </c>
      <c r="F208" t="str">
        <f>VLOOKUP(E208,Tabela2[#All],2,FALSE)</f>
        <v>TERMINAL GARFO</v>
      </c>
      <c r="G208" t="s">
        <v>699</v>
      </c>
      <c r="H208" s="1">
        <v>0.99</v>
      </c>
      <c r="I208" s="1">
        <v>0.99</v>
      </c>
      <c r="J208" t="s">
        <v>46</v>
      </c>
      <c r="K208" s="1">
        <v>56.179774999999999</v>
      </c>
      <c r="L208" s="1">
        <v>5</v>
      </c>
      <c r="M208" s="1">
        <v>11.57</v>
      </c>
      <c r="N208" s="1">
        <v>32901</v>
      </c>
      <c r="O208" t="s">
        <v>534</v>
      </c>
      <c r="P208" t="s">
        <v>615</v>
      </c>
      <c r="Q208" t="s">
        <v>49</v>
      </c>
      <c r="R208" t="s">
        <v>50</v>
      </c>
      <c r="S208" t="s">
        <v>50</v>
      </c>
      <c r="T208" s="1">
        <v>15.672936979999999</v>
      </c>
      <c r="U208" s="1">
        <v>9.9384107200000003</v>
      </c>
      <c r="V208" s="1">
        <v>3.44652</v>
      </c>
      <c r="W208" s="1">
        <v>1.1730906000000001</v>
      </c>
      <c r="X208" t="s">
        <v>50</v>
      </c>
      <c r="Y208" s="1">
        <v>8.3199999999999996E-2</v>
      </c>
      <c r="Z208" s="1">
        <v>0.26085999999999998</v>
      </c>
      <c r="AA208" s="1">
        <v>1.357</v>
      </c>
      <c r="AB208" t="s">
        <v>50</v>
      </c>
      <c r="AC208" s="1">
        <v>0.30769999999999997</v>
      </c>
      <c r="AD208" t="s">
        <v>50</v>
      </c>
      <c r="AE208" t="s">
        <v>50</v>
      </c>
      <c r="AF208" s="1">
        <v>0.14399999999999999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700</v>
      </c>
      <c r="AQ208" s="1">
        <v>8247</v>
      </c>
      <c r="AR208" t="s">
        <v>51</v>
      </c>
    </row>
    <row r="209" spans="1:44">
      <c r="A209" s="1">
        <v>87369</v>
      </c>
      <c r="B209" s="1">
        <v>87367</v>
      </c>
      <c r="C209" s="1">
        <v>79515</v>
      </c>
      <c r="D209" t="s">
        <v>701</v>
      </c>
      <c r="E209" t="s">
        <v>702</v>
      </c>
      <c r="F209" t="str">
        <f>VLOOKUP(E209,Tabela2[#All],2,FALSE)</f>
        <v>TERMINAL OLHAL</v>
      </c>
      <c r="G209" t="s">
        <v>703</v>
      </c>
      <c r="H209" s="1">
        <v>0.52</v>
      </c>
      <c r="I209" s="1">
        <v>0.52</v>
      </c>
      <c r="J209" t="s">
        <v>46</v>
      </c>
      <c r="K209" s="1">
        <v>54.410142999999998</v>
      </c>
      <c r="L209" s="1">
        <v>7</v>
      </c>
      <c r="M209" s="1">
        <v>9.07</v>
      </c>
      <c r="N209" s="1">
        <v>32901</v>
      </c>
      <c r="O209" t="s">
        <v>534</v>
      </c>
      <c r="P209" t="s">
        <v>615</v>
      </c>
      <c r="Q209" t="s">
        <v>49</v>
      </c>
      <c r="R209" t="s">
        <v>50</v>
      </c>
      <c r="S209" t="s">
        <v>50</v>
      </c>
      <c r="T209" s="1">
        <v>10.98296884</v>
      </c>
      <c r="U209" s="1">
        <v>6.3557442799999997</v>
      </c>
      <c r="V209" s="1">
        <v>0</v>
      </c>
      <c r="W209" s="1">
        <v>0.61616879999999996</v>
      </c>
      <c r="X209" t="s">
        <v>50</v>
      </c>
      <c r="Y209" s="1">
        <v>5.0999999999999997E-2</v>
      </c>
      <c r="Z209" s="1">
        <v>0.2777</v>
      </c>
      <c r="AA209" s="1">
        <v>1.212</v>
      </c>
      <c r="AB209" t="s">
        <v>50</v>
      </c>
      <c r="AC209" s="1">
        <v>0.22500000000000001</v>
      </c>
      <c r="AD209" t="s">
        <v>50</v>
      </c>
      <c r="AE209" t="s">
        <v>50</v>
      </c>
      <c r="AF209" s="1">
        <v>0.102858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704</v>
      </c>
      <c r="AQ209" s="1">
        <v>8449</v>
      </c>
      <c r="AR209" t="s">
        <v>51</v>
      </c>
    </row>
    <row r="210" spans="1:44">
      <c r="A210" s="1">
        <v>86128</v>
      </c>
      <c r="B210" s="1">
        <v>86127</v>
      </c>
      <c r="C210" s="1">
        <v>78354</v>
      </c>
      <c r="D210" t="s">
        <v>705</v>
      </c>
      <c r="E210" t="s">
        <v>706</v>
      </c>
      <c r="F210" t="str">
        <f>VLOOKUP(E210,Tabela2[#All],2,FALSE)</f>
        <v>TERMINAL GARFO</v>
      </c>
      <c r="G210" t="s">
        <v>707</v>
      </c>
      <c r="H210" s="1">
        <v>0.49</v>
      </c>
      <c r="I210" s="1">
        <v>0.49</v>
      </c>
      <c r="J210" t="s">
        <v>46</v>
      </c>
      <c r="K210" s="1">
        <v>58.745583000000003</v>
      </c>
      <c r="L210" s="1">
        <v>10</v>
      </c>
      <c r="M210" s="1">
        <v>11.32</v>
      </c>
      <c r="N210" s="1">
        <v>32901</v>
      </c>
      <c r="O210" t="s">
        <v>534</v>
      </c>
      <c r="P210" t="s">
        <v>615</v>
      </c>
      <c r="Q210" t="s">
        <v>49</v>
      </c>
      <c r="R210" t="s">
        <v>50</v>
      </c>
      <c r="S210" t="s">
        <v>50</v>
      </c>
      <c r="T210" s="1">
        <v>8.6969318100000006</v>
      </c>
      <c r="U210" s="1">
        <v>4.4006566100000004</v>
      </c>
      <c r="V210" s="1">
        <v>0</v>
      </c>
      <c r="W210" s="1">
        <v>0.58062060000000004</v>
      </c>
      <c r="X210" t="s">
        <v>50</v>
      </c>
      <c r="Y210" s="1">
        <v>3.124E-2</v>
      </c>
      <c r="Z210" t="s">
        <v>50</v>
      </c>
      <c r="AA210" s="1">
        <v>1.3444</v>
      </c>
      <c r="AB210" t="s">
        <v>50</v>
      </c>
      <c r="AC210" s="1">
        <v>0.2082</v>
      </c>
      <c r="AD210" t="s">
        <v>50</v>
      </c>
      <c r="AE210" t="s">
        <v>50</v>
      </c>
      <c r="AF210" s="1">
        <v>6.93E-2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708</v>
      </c>
      <c r="AQ210" s="1">
        <v>8207</v>
      </c>
      <c r="AR210" t="s">
        <v>51</v>
      </c>
    </row>
    <row r="211" spans="1:44">
      <c r="A211" s="1">
        <v>90872</v>
      </c>
      <c r="B211" s="1">
        <v>90873</v>
      </c>
      <c r="C211" s="1">
        <v>82791</v>
      </c>
      <c r="D211" t="s">
        <v>709</v>
      </c>
      <c r="E211" t="s">
        <v>710</v>
      </c>
      <c r="F211" t="str">
        <f>VLOOKUP(E211,Tabela2[#All],2,FALSE)</f>
        <v>SAPATÃO</v>
      </c>
      <c r="G211" t="s">
        <v>711</v>
      </c>
      <c r="H211" s="1">
        <v>2.31</v>
      </c>
      <c r="I211" s="1">
        <v>2.31</v>
      </c>
      <c r="J211" t="s">
        <v>46</v>
      </c>
      <c r="K211" s="1">
        <v>42.775664999999996</v>
      </c>
      <c r="L211" s="1">
        <v>2</v>
      </c>
      <c r="M211" s="1">
        <v>10.52</v>
      </c>
      <c r="N211" s="1">
        <v>32901</v>
      </c>
      <c r="O211" t="s">
        <v>534</v>
      </c>
      <c r="P211" t="s">
        <v>615</v>
      </c>
      <c r="Q211" t="s">
        <v>49</v>
      </c>
      <c r="R211" t="s">
        <v>50</v>
      </c>
      <c r="S211" s="1">
        <v>0.33300000000000002</v>
      </c>
      <c r="T211" s="1">
        <v>32.879122879999997</v>
      </c>
      <c r="U211" s="1">
        <v>23.757526169999998</v>
      </c>
      <c r="V211" s="1">
        <v>0</v>
      </c>
      <c r="W211" s="1">
        <v>2.7372114000000001</v>
      </c>
      <c r="X211" t="s">
        <v>50</v>
      </c>
      <c r="Y211" s="1">
        <v>0.18809999999999999</v>
      </c>
      <c r="Z211" t="s">
        <v>50</v>
      </c>
      <c r="AA211" t="s">
        <v>50</v>
      </c>
      <c r="AB211" t="s">
        <v>50</v>
      </c>
      <c r="AC211" s="1">
        <v>0.92720000000000002</v>
      </c>
      <c r="AD211" t="s">
        <v>50</v>
      </c>
      <c r="AE211" t="s">
        <v>50</v>
      </c>
      <c r="AF211" s="1">
        <v>0.40920000000000001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712</v>
      </c>
      <c r="AQ211" s="1">
        <v>9067</v>
      </c>
      <c r="AR211" t="s">
        <v>51</v>
      </c>
    </row>
    <row r="212" spans="1:44">
      <c r="A212" s="1">
        <v>113647</v>
      </c>
      <c r="B212" s="1">
        <v>113648</v>
      </c>
      <c r="C212" s="1">
        <v>96151</v>
      </c>
      <c r="D212" t="s">
        <v>713</v>
      </c>
      <c r="E212" t="s">
        <v>714</v>
      </c>
      <c r="F212" t="str">
        <f>VLOOKUP(E212,Tabela2[#All],2,FALSE)</f>
        <v>SEM FAMÍLIA</v>
      </c>
      <c r="G212" t="s">
        <v>715</v>
      </c>
      <c r="H212" s="1">
        <v>3.1819999999999999</v>
      </c>
      <c r="I212" s="1">
        <v>3.2</v>
      </c>
      <c r="J212" t="s">
        <v>46</v>
      </c>
      <c r="K212" s="1">
        <v>50</v>
      </c>
      <c r="L212" s="1">
        <v>2</v>
      </c>
      <c r="M212" s="1">
        <v>12.808</v>
      </c>
      <c r="N212" s="1">
        <v>32901</v>
      </c>
      <c r="O212" t="s">
        <v>534</v>
      </c>
      <c r="P212" t="s">
        <v>716</v>
      </c>
      <c r="Q212" t="s">
        <v>49</v>
      </c>
      <c r="R212" t="s">
        <v>50</v>
      </c>
      <c r="S212" t="s">
        <v>50</v>
      </c>
      <c r="T212" s="1">
        <v>35.688128069999998</v>
      </c>
      <c r="U212" s="1">
        <v>23.257785550000001</v>
      </c>
      <c r="V212" s="1">
        <v>8.9130000000000003</v>
      </c>
      <c r="W212" s="1">
        <v>3.7704790799999999</v>
      </c>
      <c r="X212" t="s">
        <v>50</v>
      </c>
      <c r="Y212" s="1">
        <v>0.18329999999999999</v>
      </c>
      <c r="Z212" s="1">
        <v>0.75</v>
      </c>
      <c r="AA212" t="s">
        <v>50</v>
      </c>
      <c r="AB212" t="s">
        <v>50</v>
      </c>
      <c r="AC212" s="1">
        <v>1.4543999999999999</v>
      </c>
      <c r="AD212" t="s">
        <v>50</v>
      </c>
      <c r="AE212" t="s">
        <v>50</v>
      </c>
      <c r="AF212" s="1">
        <v>0.40920000000000001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717</v>
      </c>
      <c r="AQ212" s="1">
        <v>12227</v>
      </c>
      <c r="AR212" t="s">
        <v>51</v>
      </c>
    </row>
    <row r="213" spans="1:44">
      <c r="A213" s="1">
        <v>31957</v>
      </c>
      <c r="B213" s="1">
        <v>35670</v>
      </c>
      <c r="C213" s="1">
        <v>31284</v>
      </c>
      <c r="D213" t="s">
        <v>718</v>
      </c>
      <c r="E213" t="s">
        <v>719</v>
      </c>
      <c r="F213" t="str">
        <f>VLOOKUP(E213,Tabela2[#All],2,FALSE)</f>
        <v>COELHO</v>
      </c>
      <c r="G213" t="s">
        <v>720</v>
      </c>
      <c r="H213" s="1">
        <v>1.18</v>
      </c>
      <c r="I213" s="1">
        <v>1.18</v>
      </c>
      <c r="J213" t="s">
        <v>46</v>
      </c>
      <c r="K213" s="1">
        <v>54.120078999999997</v>
      </c>
      <c r="L213" s="1">
        <v>4</v>
      </c>
      <c r="M213" s="1">
        <v>10.643000000000001</v>
      </c>
      <c r="N213" s="1">
        <v>32901</v>
      </c>
      <c r="O213" t="s">
        <v>534</v>
      </c>
      <c r="P213" t="s">
        <v>615</v>
      </c>
      <c r="Q213" t="s">
        <v>49</v>
      </c>
      <c r="R213" t="s">
        <v>50</v>
      </c>
      <c r="S213" s="1">
        <v>0.16500000000000001</v>
      </c>
      <c r="T213" s="1">
        <v>23.196551960000001</v>
      </c>
      <c r="U213" s="1">
        <v>13.87542513</v>
      </c>
      <c r="V213" s="1">
        <v>0</v>
      </c>
      <c r="W213" s="1">
        <v>1.3982292000000001</v>
      </c>
      <c r="X213" t="s">
        <v>50</v>
      </c>
      <c r="Y213" s="1">
        <v>9.8799999999999999E-2</v>
      </c>
      <c r="Z213" s="1">
        <v>0.5</v>
      </c>
      <c r="AA213" s="1">
        <v>1.252429</v>
      </c>
      <c r="AB213" t="s">
        <v>50</v>
      </c>
      <c r="AC213" s="1">
        <v>0.72360000000000002</v>
      </c>
      <c r="AD213" t="s">
        <v>50</v>
      </c>
      <c r="AE213" t="s">
        <v>50</v>
      </c>
      <c r="AF213" s="1">
        <v>0.19999800000000001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719</v>
      </c>
      <c r="AQ213" s="1">
        <v>2509</v>
      </c>
      <c r="AR213" t="s">
        <v>51</v>
      </c>
    </row>
    <row r="214" spans="1:44">
      <c r="A214" s="1">
        <v>31957</v>
      </c>
      <c r="B214" s="1">
        <v>35670</v>
      </c>
      <c r="C214" s="1">
        <v>31284</v>
      </c>
      <c r="D214" t="s">
        <v>718</v>
      </c>
      <c r="E214" t="s">
        <v>719</v>
      </c>
      <c r="F214" t="str">
        <f>VLOOKUP(E214,Tabela2[#All],2,FALSE)</f>
        <v>COELHO</v>
      </c>
      <c r="G214" t="s">
        <v>720</v>
      </c>
      <c r="H214" s="1">
        <v>1.18</v>
      </c>
      <c r="I214" s="1">
        <v>1.18</v>
      </c>
      <c r="J214" t="s">
        <v>46</v>
      </c>
      <c r="K214" s="1">
        <v>54.120078999999997</v>
      </c>
      <c r="L214" s="1">
        <v>4</v>
      </c>
      <c r="M214" s="1">
        <v>10.643000000000001</v>
      </c>
      <c r="N214" s="1">
        <v>32901</v>
      </c>
      <c r="O214" t="s">
        <v>534</v>
      </c>
      <c r="P214" t="s">
        <v>611</v>
      </c>
      <c r="Q214" t="s">
        <v>49</v>
      </c>
      <c r="R214" t="s">
        <v>50</v>
      </c>
      <c r="S214" s="1">
        <v>0.16500000000000001</v>
      </c>
      <c r="T214" s="1">
        <v>23.196551960000001</v>
      </c>
      <c r="U214" s="1">
        <v>13.87542513</v>
      </c>
      <c r="V214" s="1">
        <v>0</v>
      </c>
      <c r="W214" s="1">
        <v>1.3982292000000001</v>
      </c>
      <c r="X214" t="s">
        <v>50</v>
      </c>
      <c r="Y214" s="1">
        <v>9.8799999999999999E-2</v>
      </c>
      <c r="Z214" s="1">
        <v>0.5</v>
      </c>
      <c r="AA214" s="1">
        <v>1.252429</v>
      </c>
      <c r="AB214" t="s">
        <v>50</v>
      </c>
      <c r="AC214" s="1">
        <v>0.72360000000000002</v>
      </c>
      <c r="AD214" t="s">
        <v>50</v>
      </c>
      <c r="AE214" t="s">
        <v>50</v>
      </c>
      <c r="AF214" s="1">
        <v>0.19999800000000001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719</v>
      </c>
      <c r="AQ214" s="1">
        <v>2509</v>
      </c>
      <c r="AR214" t="s">
        <v>51</v>
      </c>
    </row>
    <row r="215" spans="1:44">
      <c r="A215" s="1">
        <v>109319</v>
      </c>
      <c r="B215" s="1">
        <v>84532</v>
      </c>
      <c r="C215" s="1">
        <v>76778</v>
      </c>
      <c r="D215" t="s">
        <v>721</v>
      </c>
      <c r="E215" t="s">
        <v>722</v>
      </c>
      <c r="F215" t="str">
        <f>VLOOKUP(E215,Tabela2[#All],2,FALSE)</f>
        <v>RODINHA</v>
      </c>
      <c r="G215" t="s">
        <v>723</v>
      </c>
      <c r="H215" s="1">
        <v>1.67</v>
      </c>
      <c r="I215" s="1">
        <v>1.67</v>
      </c>
      <c r="J215" t="s">
        <v>46</v>
      </c>
      <c r="K215" s="1">
        <v>55.833568</v>
      </c>
      <c r="L215" s="1">
        <v>4</v>
      </c>
      <c r="M215" s="1">
        <v>14.228</v>
      </c>
      <c r="N215" s="1">
        <v>32958</v>
      </c>
      <c r="O215" t="s">
        <v>81</v>
      </c>
      <c r="P215" t="s">
        <v>724</v>
      </c>
      <c r="Q215" t="s">
        <v>49</v>
      </c>
      <c r="R215" t="s">
        <v>50</v>
      </c>
      <c r="S215" t="s">
        <v>50</v>
      </c>
      <c r="T215" s="1">
        <v>19.225146779999999</v>
      </c>
      <c r="U215" s="1">
        <v>12.7757234</v>
      </c>
      <c r="V215" s="1">
        <v>0</v>
      </c>
      <c r="W215" s="1">
        <v>1.9788498000000001</v>
      </c>
      <c r="X215" t="s">
        <v>50</v>
      </c>
      <c r="Y215" s="1">
        <v>9.3700000000000006E-2</v>
      </c>
      <c r="Z215" t="s">
        <v>50</v>
      </c>
      <c r="AA215" s="1">
        <v>0.70579999999999998</v>
      </c>
      <c r="AB215" t="s">
        <v>50</v>
      </c>
      <c r="AC215" s="1">
        <v>0.56000000000000005</v>
      </c>
      <c r="AD215" t="s">
        <v>50</v>
      </c>
      <c r="AE215" t="s">
        <v>50</v>
      </c>
      <c r="AF215" s="1">
        <v>0.20250000000000001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725</v>
      </c>
      <c r="AQ215" s="1">
        <v>7827</v>
      </c>
      <c r="AR215" t="s">
        <v>51</v>
      </c>
    </row>
    <row r="216" spans="1:44">
      <c r="A216" s="1">
        <v>84724</v>
      </c>
      <c r="B216" s="1">
        <v>84532</v>
      </c>
      <c r="C216" s="1">
        <v>76778</v>
      </c>
      <c r="D216" t="s">
        <v>726</v>
      </c>
      <c r="E216" t="s">
        <v>722</v>
      </c>
      <c r="F216" t="str">
        <f>VLOOKUP(E216,Tabela2[#All],2,FALSE)</f>
        <v>RODINHA</v>
      </c>
      <c r="G216" t="s">
        <v>723</v>
      </c>
      <c r="H216" s="1">
        <v>1.67</v>
      </c>
      <c r="I216" s="1">
        <v>1.67</v>
      </c>
      <c r="J216" t="s">
        <v>46</v>
      </c>
      <c r="K216" s="1">
        <v>55.833568</v>
      </c>
      <c r="L216" s="1">
        <v>4</v>
      </c>
      <c r="M216" s="1">
        <v>14.228</v>
      </c>
      <c r="N216" s="1">
        <v>32958</v>
      </c>
      <c r="O216" t="s">
        <v>81</v>
      </c>
      <c r="P216" t="s">
        <v>724</v>
      </c>
      <c r="Q216" t="s">
        <v>49</v>
      </c>
      <c r="R216" t="s">
        <v>50</v>
      </c>
      <c r="S216" t="s">
        <v>50</v>
      </c>
      <c r="T216" s="1">
        <v>19.225146779999999</v>
      </c>
      <c r="U216" s="1">
        <v>12.7757234</v>
      </c>
      <c r="V216" s="1">
        <v>0</v>
      </c>
      <c r="W216" s="1">
        <v>1.9788498000000001</v>
      </c>
      <c r="X216" t="s">
        <v>50</v>
      </c>
      <c r="Y216" s="1">
        <v>9.3700000000000006E-2</v>
      </c>
      <c r="Z216" t="s">
        <v>50</v>
      </c>
      <c r="AA216" s="1">
        <v>0.70579999999999998</v>
      </c>
      <c r="AB216" t="s">
        <v>50</v>
      </c>
      <c r="AC216" s="1">
        <v>0.56000000000000005</v>
      </c>
      <c r="AD216" t="s">
        <v>50</v>
      </c>
      <c r="AE216" t="s">
        <v>50</v>
      </c>
      <c r="AF216" s="1">
        <v>0.20250000000000001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725</v>
      </c>
      <c r="AQ216" s="1">
        <v>7827</v>
      </c>
      <c r="AR216" t="s">
        <v>51</v>
      </c>
    </row>
    <row r="217" spans="1:44">
      <c r="A217" s="1">
        <v>31927</v>
      </c>
      <c r="B217" s="1">
        <v>35789</v>
      </c>
      <c r="C217" s="1">
        <v>31253</v>
      </c>
      <c r="D217" t="s">
        <v>727</v>
      </c>
      <c r="E217" t="s">
        <v>728</v>
      </c>
      <c r="F217" t="str">
        <f>VLOOKUP(E217,Tabela2[#All],2,FALSE)</f>
        <v>GANSO</v>
      </c>
      <c r="G217" t="s">
        <v>729</v>
      </c>
      <c r="H217" s="1">
        <v>1.1000000000000001</v>
      </c>
      <c r="I217" s="1">
        <v>1.1000000000000001</v>
      </c>
      <c r="J217" t="s">
        <v>46</v>
      </c>
      <c r="K217" s="1">
        <v>52.853088</v>
      </c>
      <c r="L217" s="1">
        <v>4</v>
      </c>
      <c r="M217" s="1">
        <v>10.217000000000001</v>
      </c>
      <c r="N217" s="1">
        <v>32900</v>
      </c>
      <c r="O217" t="s">
        <v>47</v>
      </c>
      <c r="P217" t="s">
        <v>730</v>
      </c>
      <c r="Q217" t="s">
        <v>49</v>
      </c>
      <c r="R217" t="s">
        <v>50</v>
      </c>
      <c r="S217" t="s">
        <v>50</v>
      </c>
      <c r="T217" s="1">
        <v>26.892006840000001</v>
      </c>
      <c r="U217" s="1">
        <v>12.496559639999999</v>
      </c>
      <c r="V217" s="1">
        <v>0</v>
      </c>
      <c r="W217" s="1">
        <v>1.303434</v>
      </c>
      <c r="X217" s="1">
        <v>0.3</v>
      </c>
      <c r="Y217" s="1">
        <v>8.4000000000000005E-2</v>
      </c>
      <c r="Z217" s="1">
        <v>0.9536</v>
      </c>
      <c r="AA217" s="1">
        <v>1.2185999999999999</v>
      </c>
      <c r="AB217" t="s">
        <v>50</v>
      </c>
      <c r="AC217" s="1">
        <v>0.36359999999999998</v>
      </c>
      <c r="AD217" t="s">
        <v>50</v>
      </c>
      <c r="AE217" t="s">
        <v>50</v>
      </c>
      <c r="AF217" s="1">
        <v>0.20250000000000001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728</v>
      </c>
      <c r="AQ217" s="1">
        <v>1257</v>
      </c>
      <c r="AR217" t="s">
        <v>51</v>
      </c>
    </row>
    <row r="218" spans="1:44">
      <c r="A218" s="1">
        <v>31895</v>
      </c>
      <c r="B218" s="1">
        <v>35764</v>
      </c>
      <c r="C218" s="1">
        <v>31221</v>
      </c>
      <c r="D218" t="s">
        <v>731</v>
      </c>
      <c r="E218" t="s">
        <v>732</v>
      </c>
      <c r="F218" t="str">
        <f>VLOOKUP(E218,Tabela2[#All],2,FALSE)</f>
        <v>COELHO</v>
      </c>
      <c r="G218" t="s">
        <v>733</v>
      </c>
      <c r="H218" s="1">
        <v>1.3</v>
      </c>
      <c r="I218" s="1">
        <v>1.3</v>
      </c>
      <c r="J218" t="s">
        <v>46</v>
      </c>
      <c r="K218" s="1">
        <v>53.428317</v>
      </c>
      <c r="L218" s="1">
        <v>4</v>
      </c>
      <c r="M218" s="1">
        <v>11.23</v>
      </c>
      <c r="N218" s="1">
        <v>32900</v>
      </c>
      <c r="O218" t="s">
        <v>47</v>
      </c>
      <c r="P218" t="s">
        <v>730</v>
      </c>
      <c r="Q218" t="s">
        <v>49</v>
      </c>
      <c r="R218" t="s">
        <v>50</v>
      </c>
      <c r="S218" t="s">
        <v>50</v>
      </c>
      <c r="T218" s="1">
        <v>23.18386963</v>
      </c>
      <c r="U218" s="1">
        <v>15.94321343</v>
      </c>
      <c r="V218" s="1">
        <v>0</v>
      </c>
      <c r="W218" s="1">
        <v>1.540422</v>
      </c>
      <c r="X218" t="s">
        <v>50</v>
      </c>
      <c r="Y218" s="1">
        <v>9.8799999999999999E-2</v>
      </c>
      <c r="Z218" s="1">
        <v>0.4</v>
      </c>
      <c r="AA218" s="1">
        <v>1.3193999999999999</v>
      </c>
      <c r="AB218" t="s">
        <v>50</v>
      </c>
      <c r="AC218" s="1">
        <v>0.36359999999999998</v>
      </c>
      <c r="AD218" t="s">
        <v>50</v>
      </c>
      <c r="AE218" t="s">
        <v>50</v>
      </c>
      <c r="AF218" s="1">
        <v>0.20250000000000001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732</v>
      </c>
      <c r="AQ218" s="1">
        <v>1928</v>
      </c>
      <c r="AR218" t="s">
        <v>51</v>
      </c>
    </row>
    <row r="219" spans="1:44">
      <c r="A219" s="1">
        <v>31939</v>
      </c>
      <c r="B219" s="1">
        <v>38042</v>
      </c>
      <c r="C219" s="1">
        <v>31295</v>
      </c>
      <c r="D219" t="s">
        <v>734</v>
      </c>
      <c r="E219" t="s">
        <v>735</v>
      </c>
      <c r="F219" t="str">
        <f>VLOOKUP(E219,Tabela2[#All],2,FALSE)</f>
        <v>TAÇA BASE</v>
      </c>
      <c r="G219" t="s">
        <v>736</v>
      </c>
      <c r="H219" s="1">
        <v>1.33</v>
      </c>
      <c r="I219" s="1">
        <v>1.33</v>
      </c>
      <c r="J219" t="s">
        <v>46</v>
      </c>
      <c r="K219" s="1">
        <v>52.361963000000003</v>
      </c>
      <c r="L219" s="1">
        <v>4</v>
      </c>
      <c r="M219" s="1">
        <v>13.04</v>
      </c>
      <c r="N219" s="1">
        <v>32900</v>
      </c>
      <c r="O219" t="s">
        <v>47</v>
      </c>
      <c r="P219" t="s">
        <v>730</v>
      </c>
      <c r="Q219" t="s">
        <v>49</v>
      </c>
      <c r="R219" t="s">
        <v>50</v>
      </c>
      <c r="S219" t="s">
        <v>50</v>
      </c>
      <c r="T219" s="1">
        <v>26.119182460000001</v>
      </c>
      <c r="U219" s="1">
        <v>18.837373809999999</v>
      </c>
      <c r="V219" s="1">
        <v>0</v>
      </c>
      <c r="W219" s="1">
        <v>1.5759702</v>
      </c>
      <c r="X219" t="s">
        <v>50</v>
      </c>
      <c r="Y219" s="1">
        <v>7.7100000000000002E-2</v>
      </c>
      <c r="Z219" t="s">
        <v>50</v>
      </c>
      <c r="AA219" s="1">
        <v>1.8314999999999999</v>
      </c>
      <c r="AB219" t="s">
        <v>50</v>
      </c>
      <c r="AC219" s="1">
        <v>0.33079999999999998</v>
      </c>
      <c r="AD219" t="s">
        <v>50</v>
      </c>
      <c r="AE219" t="s">
        <v>50</v>
      </c>
      <c r="AF219" s="1">
        <v>0.24990000000000001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735</v>
      </c>
      <c r="AQ219" s="1">
        <v>1261</v>
      </c>
      <c r="AR219" t="s">
        <v>51</v>
      </c>
    </row>
    <row r="220" spans="1:44">
      <c r="A220" s="1">
        <v>31939</v>
      </c>
      <c r="B220" s="1">
        <v>38042</v>
      </c>
      <c r="C220" s="1">
        <v>31295</v>
      </c>
      <c r="D220" t="s">
        <v>734</v>
      </c>
      <c r="E220" t="s">
        <v>735</v>
      </c>
      <c r="F220" t="str">
        <f>VLOOKUP(E220,Tabela2[#All],2,FALSE)</f>
        <v>TAÇA BASE</v>
      </c>
      <c r="G220" t="s">
        <v>737</v>
      </c>
      <c r="H220" s="1">
        <v>1.33</v>
      </c>
      <c r="I220" s="1">
        <v>1.33</v>
      </c>
      <c r="J220" t="s">
        <v>46</v>
      </c>
      <c r="K220" s="1">
        <v>58.485610000000001</v>
      </c>
      <c r="L220" s="1">
        <v>6</v>
      </c>
      <c r="M220" s="1">
        <v>17.512</v>
      </c>
      <c r="N220" s="1">
        <v>32900</v>
      </c>
      <c r="O220" t="s">
        <v>47</v>
      </c>
      <c r="P220" t="s">
        <v>730</v>
      </c>
      <c r="Q220" t="s">
        <v>49</v>
      </c>
      <c r="R220" t="s">
        <v>50</v>
      </c>
      <c r="S220" t="s">
        <v>50</v>
      </c>
      <c r="T220" s="1">
        <v>26.119182460000001</v>
      </c>
      <c r="U220" s="1">
        <v>18.837373809999999</v>
      </c>
      <c r="V220" s="1">
        <v>0</v>
      </c>
      <c r="W220" s="1">
        <v>1.5759702</v>
      </c>
      <c r="X220" t="s">
        <v>50</v>
      </c>
      <c r="Y220" s="1">
        <v>7.7100000000000002E-2</v>
      </c>
      <c r="Z220" t="s">
        <v>50</v>
      </c>
      <c r="AA220" s="1">
        <v>1.8314999999999999</v>
      </c>
      <c r="AB220" t="s">
        <v>50</v>
      </c>
      <c r="AC220" s="1">
        <v>0.33079999999999998</v>
      </c>
      <c r="AD220" t="s">
        <v>50</v>
      </c>
      <c r="AE220" t="s">
        <v>50</v>
      </c>
      <c r="AF220" s="1">
        <v>0.24990000000000001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735</v>
      </c>
      <c r="AQ220" s="1">
        <v>1262</v>
      </c>
      <c r="AR220" t="s">
        <v>399</v>
      </c>
    </row>
    <row r="221" spans="1:44">
      <c r="A221" s="1">
        <v>31975</v>
      </c>
      <c r="B221" s="1">
        <v>35777</v>
      </c>
      <c r="C221" s="1">
        <v>31303</v>
      </c>
      <c r="D221" t="s">
        <v>738</v>
      </c>
      <c r="E221" t="s">
        <v>739</v>
      </c>
      <c r="F221" t="str">
        <f>VLOOKUP(E221,Tabela2[#All],2,FALSE)</f>
        <v>TAÇA BASE</v>
      </c>
      <c r="G221" t="s">
        <v>740</v>
      </c>
      <c r="H221" s="1">
        <v>1.92</v>
      </c>
      <c r="I221" s="1">
        <v>1.92</v>
      </c>
      <c r="J221" t="s">
        <v>46</v>
      </c>
      <c r="K221" s="1">
        <v>51.546391999999997</v>
      </c>
      <c r="L221" s="1">
        <v>3</v>
      </c>
      <c r="M221" s="1">
        <v>15.65</v>
      </c>
      <c r="N221" s="1">
        <v>32900</v>
      </c>
      <c r="O221" t="s">
        <v>47</v>
      </c>
      <c r="P221" t="s">
        <v>730</v>
      </c>
      <c r="Q221" t="s">
        <v>49</v>
      </c>
      <c r="R221" t="s">
        <v>50</v>
      </c>
      <c r="S221" s="1">
        <v>0.77800000000000002</v>
      </c>
      <c r="T221" s="1">
        <v>31.397388639999999</v>
      </c>
      <c r="U221" s="1">
        <v>20.4054562</v>
      </c>
      <c r="V221" s="1">
        <v>0</v>
      </c>
      <c r="W221" s="1">
        <v>2.2750848000000001</v>
      </c>
      <c r="X221" t="s">
        <v>50</v>
      </c>
      <c r="Y221" s="1">
        <v>0.59279999999999999</v>
      </c>
      <c r="Z221" t="s">
        <v>50</v>
      </c>
      <c r="AA221" s="1">
        <v>2.085</v>
      </c>
      <c r="AB221" t="s">
        <v>50</v>
      </c>
      <c r="AC221" s="1">
        <v>0.33079999999999998</v>
      </c>
      <c r="AD221" t="s">
        <v>50</v>
      </c>
      <c r="AE221" t="s">
        <v>50</v>
      </c>
      <c r="AF221" s="1">
        <v>0.2626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739</v>
      </c>
      <c r="AQ221" s="1">
        <v>1747</v>
      </c>
      <c r="AR221" t="s">
        <v>51</v>
      </c>
    </row>
    <row r="222" spans="1:44">
      <c r="A222" s="1">
        <v>31923</v>
      </c>
      <c r="B222" s="1">
        <v>35754</v>
      </c>
      <c r="C222" s="1">
        <v>31249</v>
      </c>
      <c r="D222" t="s">
        <v>741</v>
      </c>
      <c r="E222" t="s">
        <v>742</v>
      </c>
      <c r="F222" t="str">
        <f>VLOOKUP(E222,Tabela2[#All],2,FALSE)</f>
        <v>GANSO</v>
      </c>
      <c r="G222" t="s">
        <v>743</v>
      </c>
      <c r="H222" s="1">
        <v>1.1599999999999999</v>
      </c>
      <c r="I222" s="1">
        <v>1.1599999999999999</v>
      </c>
      <c r="J222" t="s">
        <v>46</v>
      </c>
      <c r="K222" s="1">
        <v>52.343058999999997</v>
      </c>
      <c r="L222" s="1">
        <v>4</v>
      </c>
      <c r="M222" s="1">
        <v>11.31</v>
      </c>
      <c r="N222" s="1">
        <v>32900</v>
      </c>
      <c r="O222" t="s">
        <v>47</v>
      </c>
      <c r="P222" t="s">
        <v>730</v>
      </c>
      <c r="Q222" t="s">
        <v>49</v>
      </c>
      <c r="R222" t="s">
        <v>50</v>
      </c>
      <c r="S222" t="s">
        <v>50</v>
      </c>
      <c r="T222" s="1">
        <v>20.46937157</v>
      </c>
      <c r="U222" s="1">
        <v>12.779074270000001</v>
      </c>
      <c r="V222" s="1">
        <v>0</v>
      </c>
      <c r="W222" s="1">
        <v>1.3745304</v>
      </c>
      <c r="X222" t="s">
        <v>50</v>
      </c>
      <c r="Y222" s="1">
        <v>9.4700000000000006E-2</v>
      </c>
      <c r="Z222" s="1">
        <v>0.71150000000000002</v>
      </c>
      <c r="AA222" s="1">
        <v>1.26</v>
      </c>
      <c r="AB222" t="s">
        <v>50</v>
      </c>
      <c r="AC222" s="1">
        <v>0.36359999999999998</v>
      </c>
      <c r="AD222" t="s">
        <v>50</v>
      </c>
      <c r="AE222" t="s">
        <v>50</v>
      </c>
      <c r="AF222" s="1">
        <v>0.20452500000000001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742</v>
      </c>
      <c r="AQ222" s="1">
        <v>1265</v>
      </c>
      <c r="AR222" t="s">
        <v>51</v>
      </c>
    </row>
    <row r="223" spans="1:44">
      <c r="A223" s="1">
        <v>31946</v>
      </c>
      <c r="B223" s="1">
        <v>35744</v>
      </c>
      <c r="C223" s="1">
        <v>31273</v>
      </c>
      <c r="D223" t="s">
        <v>744</v>
      </c>
      <c r="E223" t="s">
        <v>745</v>
      </c>
      <c r="F223" t="str">
        <f>VLOOKUP(E223,Tabela2[#All],2,FALSE)</f>
        <v>COELHO</v>
      </c>
      <c r="G223" t="s">
        <v>746</v>
      </c>
      <c r="H223" s="1">
        <v>1.36</v>
      </c>
      <c r="I223" s="1">
        <v>1.36</v>
      </c>
      <c r="J223" t="s">
        <v>46</v>
      </c>
      <c r="K223" s="1">
        <v>53.545817</v>
      </c>
      <c r="L223" s="1">
        <v>4</v>
      </c>
      <c r="M223" s="1">
        <v>12.55</v>
      </c>
      <c r="N223" s="1">
        <v>32900</v>
      </c>
      <c r="O223" t="s">
        <v>47</v>
      </c>
      <c r="P223" t="s">
        <v>730</v>
      </c>
      <c r="Q223" t="s">
        <v>49</v>
      </c>
      <c r="R223" t="s">
        <v>50</v>
      </c>
      <c r="S223" t="s">
        <v>50</v>
      </c>
      <c r="T223" s="1">
        <v>25.956161479999999</v>
      </c>
      <c r="U223" s="1">
        <v>11.31077062</v>
      </c>
      <c r="V223" s="1">
        <v>0</v>
      </c>
      <c r="W223" s="1">
        <v>1.6115184</v>
      </c>
      <c r="X223" t="s">
        <v>50</v>
      </c>
      <c r="Y223" s="1">
        <v>8.8999999999999996E-2</v>
      </c>
      <c r="Z223" s="1">
        <v>0.26200000000000001</v>
      </c>
      <c r="AA223" s="1">
        <v>1.3132999999999999</v>
      </c>
      <c r="AB223" t="s">
        <v>50</v>
      </c>
      <c r="AC223" s="1">
        <v>0.36359999999999998</v>
      </c>
      <c r="AD223" t="s">
        <v>50</v>
      </c>
      <c r="AE223" t="s">
        <v>50</v>
      </c>
      <c r="AF223" s="1">
        <v>0.20250000000000001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745</v>
      </c>
      <c r="AQ223" s="1">
        <v>1748</v>
      </c>
      <c r="AR223" t="s">
        <v>51</v>
      </c>
    </row>
    <row r="224" spans="1:44">
      <c r="A224" s="1">
        <v>31760</v>
      </c>
      <c r="B224" s="1">
        <v>35765</v>
      </c>
      <c r="C224" s="1">
        <v>31100</v>
      </c>
      <c r="D224" t="s">
        <v>747</v>
      </c>
      <c r="E224" t="s">
        <v>748</v>
      </c>
      <c r="F224" t="str">
        <f>VLOOKUP(E224,Tabela2[#All],2,FALSE)</f>
        <v>FLANGE TAÇA</v>
      </c>
      <c r="G224" t="s">
        <v>749</v>
      </c>
      <c r="H224" s="1">
        <v>4.24</v>
      </c>
      <c r="I224" s="1">
        <v>4.24</v>
      </c>
      <c r="J224" t="s">
        <v>46</v>
      </c>
      <c r="K224" s="1">
        <v>64.461883</v>
      </c>
      <c r="L224" s="1">
        <v>2</v>
      </c>
      <c r="M224" s="1">
        <v>17.84</v>
      </c>
      <c r="N224" s="1">
        <v>32900</v>
      </c>
      <c r="O224" t="s">
        <v>47</v>
      </c>
      <c r="P224" t="s">
        <v>730</v>
      </c>
      <c r="Q224" t="s">
        <v>49</v>
      </c>
      <c r="R224" t="s">
        <v>50</v>
      </c>
      <c r="S224" t="s">
        <v>50</v>
      </c>
      <c r="T224" s="1">
        <v>54.760111029999997</v>
      </c>
      <c r="U224" s="1">
        <v>36.05301729</v>
      </c>
      <c r="V224" s="1">
        <v>0</v>
      </c>
      <c r="W224" s="1">
        <v>5.0241455999999998</v>
      </c>
      <c r="X224" t="s">
        <v>50</v>
      </c>
      <c r="Y224" s="1">
        <v>0.1076</v>
      </c>
      <c r="Z224" s="1">
        <v>0.44</v>
      </c>
      <c r="AA224" s="1">
        <v>2.9699</v>
      </c>
      <c r="AB224" t="s">
        <v>50</v>
      </c>
      <c r="AC224" s="1">
        <v>1.0908</v>
      </c>
      <c r="AD224" t="s">
        <v>50</v>
      </c>
      <c r="AE224" t="s">
        <v>50</v>
      </c>
      <c r="AF224" s="1">
        <v>0.49980000000000002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748</v>
      </c>
      <c r="AQ224" s="1">
        <v>1751</v>
      </c>
      <c r="AR224" t="s">
        <v>51</v>
      </c>
    </row>
    <row r="225" spans="1:44">
      <c r="A225" s="1">
        <v>32996</v>
      </c>
      <c r="B225" s="1">
        <v>38937</v>
      </c>
      <c r="C225" s="1">
        <v>32337</v>
      </c>
      <c r="D225" t="s">
        <v>750</v>
      </c>
      <c r="E225" t="s">
        <v>751</v>
      </c>
      <c r="F225" t="str">
        <f>VLOOKUP(E225,Tabela2[#All],2,FALSE)</f>
        <v>TAÇA</v>
      </c>
      <c r="G225" t="s">
        <v>752</v>
      </c>
      <c r="H225" s="1">
        <v>3.83</v>
      </c>
      <c r="I225" s="1">
        <v>3.83</v>
      </c>
      <c r="J225" t="s">
        <v>46</v>
      </c>
      <c r="K225" s="1">
        <v>44.051724</v>
      </c>
      <c r="L225" s="1">
        <v>2</v>
      </c>
      <c r="M225" s="1">
        <v>23.2</v>
      </c>
      <c r="N225" s="1">
        <v>32900</v>
      </c>
      <c r="O225" t="s">
        <v>47</v>
      </c>
      <c r="P225" t="s">
        <v>753</v>
      </c>
      <c r="Q225" t="s">
        <v>49</v>
      </c>
      <c r="R225" t="s">
        <v>50</v>
      </c>
      <c r="S225" t="s">
        <v>50</v>
      </c>
      <c r="T225" s="1">
        <v>65.013623899999999</v>
      </c>
      <c r="U225" s="1">
        <v>40.610103789999997</v>
      </c>
      <c r="V225" s="1">
        <v>0</v>
      </c>
      <c r="W225" s="1">
        <v>4.5383202000000002</v>
      </c>
      <c r="X225" t="s">
        <v>50</v>
      </c>
      <c r="Y225" s="1">
        <v>0.13880000000000001</v>
      </c>
      <c r="Z225" s="1">
        <v>0.44400000000000001</v>
      </c>
      <c r="AA225" s="1">
        <v>3.7837999999999998</v>
      </c>
      <c r="AB225" t="s">
        <v>50</v>
      </c>
      <c r="AC225" s="1">
        <v>1.0908</v>
      </c>
      <c r="AD225" t="s">
        <v>50</v>
      </c>
      <c r="AE225" t="s">
        <v>50</v>
      </c>
      <c r="AF225" s="1">
        <v>0.40920000000000001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751</v>
      </c>
      <c r="AQ225" s="1">
        <v>1753</v>
      </c>
      <c r="AR225" t="s">
        <v>51</v>
      </c>
    </row>
    <row r="226" spans="1:44">
      <c r="A226" s="1">
        <v>32996</v>
      </c>
      <c r="B226" s="1">
        <v>38937</v>
      </c>
      <c r="C226" s="1">
        <v>32337</v>
      </c>
      <c r="D226" t="s">
        <v>750</v>
      </c>
      <c r="E226" t="s">
        <v>751</v>
      </c>
      <c r="F226" t="str">
        <f>VLOOKUP(E226,Tabela2[#All],2,FALSE)</f>
        <v>TAÇA</v>
      </c>
      <c r="G226" t="s">
        <v>752</v>
      </c>
      <c r="H226" s="1">
        <v>3.83</v>
      </c>
      <c r="I226" s="1">
        <v>3.83</v>
      </c>
      <c r="J226" t="s">
        <v>46</v>
      </c>
      <c r="K226" s="1">
        <v>44.051724</v>
      </c>
      <c r="L226" s="1">
        <v>2</v>
      </c>
      <c r="M226" s="1">
        <v>23.2</v>
      </c>
      <c r="N226" s="1">
        <v>32900</v>
      </c>
      <c r="O226" t="s">
        <v>47</v>
      </c>
      <c r="P226" t="s">
        <v>730</v>
      </c>
      <c r="Q226" t="s">
        <v>49</v>
      </c>
      <c r="R226" t="s">
        <v>50</v>
      </c>
      <c r="S226" t="s">
        <v>50</v>
      </c>
      <c r="T226" s="1">
        <v>65.013623899999999</v>
      </c>
      <c r="U226" s="1">
        <v>40.610103789999997</v>
      </c>
      <c r="V226" s="1">
        <v>0</v>
      </c>
      <c r="W226" s="1">
        <v>4.5383202000000002</v>
      </c>
      <c r="X226" t="s">
        <v>50</v>
      </c>
      <c r="Y226" s="1">
        <v>0.13880000000000001</v>
      </c>
      <c r="Z226" s="1">
        <v>0.44400000000000001</v>
      </c>
      <c r="AA226" s="1">
        <v>3.7837999999999998</v>
      </c>
      <c r="AB226" t="s">
        <v>50</v>
      </c>
      <c r="AC226" s="1">
        <v>1.0908</v>
      </c>
      <c r="AD226" t="s">
        <v>50</v>
      </c>
      <c r="AE226" t="s">
        <v>50</v>
      </c>
      <c r="AF226" s="1">
        <v>0.40920000000000001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751</v>
      </c>
      <c r="AQ226" s="1">
        <v>1753</v>
      </c>
      <c r="AR226" t="s">
        <v>51</v>
      </c>
    </row>
    <row r="227" spans="1:44">
      <c r="A227" s="1">
        <v>53914</v>
      </c>
      <c r="B227" s="1">
        <v>53917</v>
      </c>
      <c r="C227" s="1">
        <v>48269</v>
      </c>
      <c r="D227" t="s">
        <v>754</v>
      </c>
      <c r="E227" t="s">
        <v>755</v>
      </c>
      <c r="F227" t="str">
        <f>VLOOKUP(E227,Tabela2[#All],2,FALSE)</f>
        <v>PATA DE VACA</v>
      </c>
      <c r="G227" t="s">
        <v>756</v>
      </c>
      <c r="H227" s="1">
        <v>2.76</v>
      </c>
      <c r="I227" s="1">
        <v>2.76</v>
      </c>
      <c r="J227" t="s">
        <v>46</v>
      </c>
      <c r="K227" s="1">
        <v>47.355840999999998</v>
      </c>
      <c r="L227" s="1">
        <v>3</v>
      </c>
      <c r="M227" s="1">
        <v>20.082000000000001</v>
      </c>
      <c r="N227" s="1">
        <v>32900</v>
      </c>
      <c r="O227" t="s">
        <v>47</v>
      </c>
      <c r="P227" t="s">
        <v>730</v>
      </c>
      <c r="Q227" t="s">
        <v>49</v>
      </c>
      <c r="R227" t="s">
        <v>50</v>
      </c>
      <c r="S227" s="1">
        <v>0.39</v>
      </c>
      <c r="T227" s="1">
        <v>28.338078719999999</v>
      </c>
      <c r="U227" s="1">
        <v>20.48066622</v>
      </c>
      <c r="V227" s="1">
        <v>0</v>
      </c>
      <c r="W227" s="1">
        <v>3.2704344000000001</v>
      </c>
      <c r="X227" t="s">
        <v>50</v>
      </c>
      <c r="Y227" s="1">
        <v>0.13200000000000001</v>
      </c>
      <c r="Z227" t="s">
        <v>50</v>
      </c>
      <c r="AA227" s="1">
        <v>1.4558</v>
      </c>
      <c r="AB227" t="s">
        <v>50</v>
      </c>
      <c r="AC227" s="1">
        <v>0.27250000000000002</v>
      </c>
      <c r="AD227" t="s">
        <v>50</v>
      </c>
      <c r="AE227" t="s">
        <v>50</v>
      </c>
      <c r="AF227" s="1">
        <v>0.26599800000000001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755</v>
      </c>
      <c r="AQ227" s="1">
        <v>3486</v>
      </c>
      <c r="AR227" t="s">
        <v>51</v>
      </c>
    </row>
    <row r="228" spans="1:44">
      <c r="A228" s="1">
        <v>53911</v>
      </c>
      <c r="B228" s="1">
        <v>53921</v>
      </c>
      <c r="C228" s="1">
        <v>48270</v>
      </c>
      <c r="D228" t="s">
        <v>757</v>
      </c>
      <c r="E228" t="s">
        <v>758</v>
      </c>
      <c r="F228" t="str">
        <f>VLOOKUP(E228,Tabela2[#All],2,FALSE)</f>
        <v>TAÇA BASE</v>
      </c>
      <c r="G228" t="s">
        <v>759</v>
      </c>
      <c r="H228" s="1">
        <v>2.2799999999999998</v>
      </c>
      <c r="I228" s="1">
        <v>2.2799999999999998</v>
      </c>
      <c r="J228" t="s">
        <v>46</v>
      </c>
      <c r="K228" s="1">
        <v>56.081707999999999</v>
      </c>
      <c r="L228" s="1">
        <v>2</v>
      </c>
      <c r="M228" s="1">
        <v>10.77</v>
      </c>
      <c r="N228" s="1">
        <v>32900</v>
      </c>
      <c r="O228" t="s">
        <v>47</v>
      </c>
      <c r="P228" t="s">
        <v>730</v>
      </c>
      <c r="Q228" t="s">
        <v>49</v>
      </c>
      <c r="R228" t="s">
        <v>50</v>
      </c>
      <c r="S228" s="1">
        <v>0.28100000000000003</v>
      </c>
      <c r="T228" s="1">
        <v>33.8852014</v>
      </c>
      <c r="U228" s="1">
        <v>23.360150310000002</v>
      </c>
      <c r="V228" s="1">
        <v>0</v>
      </c>
      <c r="W228" s="1">
        <v>2.7016632</v>
      </c>
      <c r="X228" t="s">
        <v>50</v>
      </c>
      <c r="Y228" s="1">
        <v>0.1217</v>
      </c>
      <c r="Z228" t="s">
        <v>50</v>
      </c>
      <c r="AA228" s="1">
        <v>2.0649000000000002</v>
      </c>
      <c r="AB228" t="s">
        <v>50</v>
      </c>
      <c r="AC228" s="1">
        <v>0.72719999999999996</v>
      </c>
      <c r="AD228" t="s">
        <v>50</v>
      </c>
      <c r="AE228" t="s">
        <v>50</v>
      </c>
      <c r="AF228" s="1">
        <v>0.30935000000000001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760</v>
      </c>
      <c r="AQ228" s="1">
        <v>9647</v>
      </c>
      <c r="AR228" t="s">
        <v>51</v>
      </c>
    </row>
    <row r="229" spans="1:44">
      <c r="A229" s="1">
        <v>91948</v>
      </c>
      <c r="B229" s="1">
        <v>91950</v>
      </c>
      <c r="C229" s="1">
        <v>83807</v>
      </c>
      <c r="D229" t="s">
        <v>761</v>
      </c>
      <c r="E229" t="s">
        <v>762</v>
      </c>
      <c r="F229" t="str">
        <f>VLOOKUP(E229,Tabela2[#All],2,FALSE)</f>
        <v>TAÇA</v>
      </c>
      <c r="G229" t="s">
        <v>763</v>
      </c>
      <c r="H229" s="1">
        <v>0.89</v>
      </c>
      <c r="I229" s="1">
        <v>0.89</v>
      </c>
      <c r="J229" t="s">
        <v>46</v>
      </c>
      <c r="K229" s="1">
        <v>53.389384999999997</v>
      </c>
      <c r="L229" s="1">
        <v>8</v>
      </c>
      <c r="M229" s="1">
        <v>19.03</v>
      </c>
      <c r="N229" s="1">
        <v>32901</v>
      </c>
      <c r="O229" t="s">
        <v>534</v>
      </c>
      <c r="P229" t="s">
        <v>730</v>
      </c>
      <c r="Q229" t="s">
        <v>49</v>
      </c>
      <c r="R229" t="s">
        <v>50</v>
      </c>
      <c r="S229" t="s">
        <v>50</v>
      </c>
      <c r="T229" s="1">
        <v>17.603095110000002</v>
      </c>
      <c r="U229" s="1">
        <v>7.1184506900000004</v>
      </c>
      <c r="V229" s="1">
        <v>0</v>
      </c>
      <c r="W229" s="1">
        <v>1.0545966</v>
      </c>
      <c r="X229" s="1">
        <v>0.6</v>
      </c>
      <c r="Y229" s="1">
        <v>4.6600000000000003E-2</v>
      </c>
      <c r="Z229" s="1">
        <v>0.6</v>
      </c>
      <c r="AA229" s="1">
        <v>1.8487</v>
      </c>
      <c r="AB229" t="s">
        <v>50</v>
      </c>
      <c r="AC229" s="1">
        <v>0.87239999999999995</v>
      </c>
      <c r="AD229" t="s">
        <v>50</v>
      </c>
      <c r="AE229" t="s">
        <v>50</v>
      </c>
      <c r="AF229" s="1">
        <v>9.3899999999999997E-2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764</v>
      </c>
      <c r="AQ229" s="1">
        <v>9547</v>
      </c>
      <c r="AR229" t="s">
        <v>51</v>
      </c>
    </row>
    <row r="230" spans="1:44">
      <c r="A230" s="1">
        <v>91948</v>
      </c>
      <c r="B230" s="1">
        <v>91950</v>
      </c>
      <c r="C230" s="1">
        <v>83807</v>
      </c>
      <c r="D230" t="s">
        <v>761</v>
      </c>
      <c r="E230" t="s">
        <v>762</v>
      </c>
      <c r="F230" t="str">
        <f>VLOOKUP(E230,Tabela2[#All],2,FALSE)</f>
        <v>TAÇA</v>
      </c>
      <c r="G230" t="s">
        <v>763</v>
      </c>
      <c r="H230" s="1">
        <v>0.89</v>
      </c>
      <c r="I230" s="1">
        <v>0.89</v>
      </c>
      <c r="J230" t="s">
        <v>46</v>
      </c>
      <c r="K230" s="1">
        <v>53.389384999999997</v>
      </c>
      <c r="L230" s="1">
        <v>8</v>
      </c>
      <c r="M230" s="1">
        <v>19.03</v>
      </c>
      <c r="N230" s="1">
        <v>32901</v>
      </c>
      <c r="O230" t="s">
        <v>534</v>
      </c>
      <c r="P230" t="s">
        <v>753</v>
      </c>
      <c r="Q230" t="s">
        <v>49</v>
      </c>
      <c r="R230" t="s">
        <v>50</v>
      </c>
      <c r="S230" t="s">
        <v>50</v>
      </c>
      <c r="T230" s="1">
        <v>17.603095110000002</v>
      </c>
      <c r="U230" s="1">
        <v>7.1184506900000004</v>
      </c>
      <c r="V230" s="1">
        <v>0</v>
      </c>
      <c r="W230" s="1">
        <v>1.0545966</v>
      </c>
      <c r="X230" s="1">
        <v>0.6</v>
      </c>
      <c r="Y230" s="1">
        <v>4.6600000000000003E-2</v>
      </c>
      <c r="Z230" s="1">
        <v>0.6</v>
      </c>
      <c r="AA230" s="1">
        <v>1.8487</v>
      </c>
      <c r="AB230" t="s">
        <v>50</v>
      </c>
      <c r="AC230" s="1">
        <v>0.87239999999999995</v>
      </c>
      <c r="AD230" t="s">
        <v>50</v>
      </c>
      <c r="AE230" t="s">
        <v>50</v>
      </c>
      <c r="AF230" s="1">
        <v>9.3899999999999997E-2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764</v>
      </c>
      <c r="AQ230" s="1">
        <v>9547</v>
      </c>
      <c r="AR230" t="s">
        <v>51</v>
      </c>
    </row>
    <row r="231" spans="1:44">
      <c r="A231" s="1">
        <v>97269</v>
      </c>
      <c r="B231" s="1">
        <v>97268</v>
      </c>
      <c r="C231" s="1">
        <v>88944</v>
      </c>
      <c r="D231" t="s">
        <v>765</v>
      </c>
      <c r="E231" t="s">
        <v>766</v>
      </c>
      <c r="F231" t="str">
        <f>VLOOKUP(E231,Tabela2[#All],2,FALSE)</f>
        <v>TAÇA BASE</v>
      </c>
      <c r="G231" t="s">
        <v>767</v>
      </c>
      <c r="H231" s="1">
        <v>1.4</v>
      </c>
      <c r="I231" s="1">
        <v>1.4</v>
      </c>
      <c r="J231" t="s">
        <v>46</v>
      </c>
      <c r="K231" s="1">
        <v>45.346062000000003</v>
      </c>
      <c r="L231" s="1">
        <v>3</v>
      </c>
      <c r="M231" s="1">
        <v>12.57</v>
      </c>
      <c r="N231" s="1">
        <v>32901</v>
      </c>
      <c r="O231" t="s">
        <v>534</v>
      </c>
      <c r="P231" t="s">
        <v>730</v>
      </c>
      <c r="Q231" t="s">
        <v>49</v>
      </c>
      <c r="R231" t="s">
        <v>50</v>
      </c>
      <c r="S231" s="1">
        <v>0.7</v>
      </c>
      <c r="T231" s="1">
        <v>28.918303810000001</v>
      </c>
      <c r="U231" s="1">
        <v>18.024569700000001</v>
      </c>
      <c r="V231" s="1">
        <v>5.4780666666666669</v>
      </c>
      <c r="W231" s="1">
        <v>1.6589160000000001</v>
      </c>
      <c r="X231" t="s">
        <v>50</v>
      </c>
      <c r="Y231" s="1">
        <v>0.1023</v>
      </c>
      <c r="Z231" t="s">
        <v>50</v>
      </c>
      <c r="AA231" s="1">
        <v>2.766</v>
      </c>
      <c r="AB231" t="s">
        <v>50</v>
      </c>
      <c r="AC231" s="1">
        <v>0.54530000000000001</v>
      </c>
      <c r="AD231" t="s">
        <v>50</v>
      </c>
      <c r="AE231" t="s">
        <v>50</v>
      </c>
      <c r="AF231" s="1">
        <v>0.2727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768</v>
      </c>
      <c r="AQ231" s="1">
        <v>10367</v>
      </c>
      <c r="AR231" t="s">
        <v>51</v>
      </c>
    </row>
    <row r="232" spans="1:44">
      <c r="A232" s="1">
        <v>108547</v>
      </c>
      <c r="B232" s="1">
        <v>108549</v>
      </c>
      <c r="C232" s="1">
        <v>91205</v>
      </c>
      <c r="D232" t="s">
        <v>769</v>
      </c>
      <c r="E232" t="s">
        <v>770</v>
      </c>
      <c r="F232" t="str">
        <f>VLOOKUP(E232,Tabela2[#All],2,FALSE)</f>
        <v>TAÇA BASE</v>
      </c>
      <c r="G232" t="s">
        <v>771</v>
      </c>
      <c r="H232" s="1">
        <v>2.4849999999999999</v>
      </c>
      <c r="I232" s="1">
        <v>2.95</v>
      </c>
      <c r="J232" t="s">
        <v>46</v>
      </c>
      <c r="K232" s="1">
        <v>54.493850999999999</v>
      </c>
      <c r="L232" s="1">
        <v>2</v>
      </c>
      <c r="M232" s="1">
        <v>10.57</v>
      </c>
      <c r="N232" s="1">
        <v>32900</v>
      </c>
      <c r="O232" t="s">
        <v>47</v>
      </c>
      <c r="P232" t="s">
        <v>730</v>
      </c>
      <c r="Q232" t="s">
        <v>49</v>
      </c>
      <c r="R232" t="s">
        <v>50</v>
      </c>
      <c r="S232" s="1">
        <v>0.28100000000000003</v>
      </c>
      <c r="T232" s="1">
        <v>34.911429439999999</v>
      </c>
      <c r="U232" s="1">
        <v>22.686669309999999</v>
      </c>
      <c r="V232" s="1">
        <v>7.7599499999999999</v>
      </c>
      <c r="W232" s="1">
        <v>2.9445758999999998</v>
      </c>
      <c r="X232" t="s">
        <v>50</v>
      </c>
      <c r="Y232" s="1">
        <v>0.1482</v>
      </c>
      <c r="Z232" t="s">
        <v>50</v>
      </c>
      <c r="AA232" s="1">
        <v>2.9485000000000001</v>
      </c>
      <c r="AB232" t="s">
        <v>50</v>
      </c>
      <c r="AC232" s="1">
        <v>0.72719999999999996</v>
      </c>
      <c r="AD232" t="s">
        <v>50</v>
      </c>
      <c r="AE232" t="s">
        <v>50</v>
      </c>
      <c r="AF232" s="1">
        <v>0.40920000000000001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772</v>
      </c>
      <c r="AQ232" s="1">
        <v>10987</v>
      </c>
      <c r="AR232" t="s">
        <v>51</v>
      </c>
    </row>
    <row r="233" spans="1:44">
      <c r="A233" s="1">
        <v>109227</v>
      </c>
      <c r="B233" s="1">
        <v>109229</v>
      </c>
      <c r="C233" s="1">
        <v>91885</v>
      </c>
      <c r="D233" t="s">
        <v>773</v>
      </c>
      <c r="E233" t="s">
        <v>774</v>
      </c>
      <c r="F233" t="str">
        <f>VLOOKUP(E233,Tabela2[#All],2,FALSE)</f>
        <v>BASE TAÇA</v>
      </c>
      <c r="G233" t="s">
        <v>775</v>
      </c>
      <c r="H233" s="1">
        <v>1.01</v>
      </c>
      <c r="I233" s="1">
        <v>1.35</v>
      </c>
      <c r="J233" t="s">
        <v>46</v>
      </c>
      <c r="K233" s="1">
        <v>56.126862000000003</v>
      </c>
      <c r="L233" s="1">
        <v>8</v>
      </c>
      <c r="M233" s="1">
        <v>20.81</v>
      </c>
      <c r="N233" s="1">
        <v>32901</v>
      </c>
      <c r="O233" t="s">
        <v>534</v>
      </c>
      <c r="P233" t="s">
        <v>753</v>
      </c>
      <c r="Q233" t="s">
        <v>49</v>
      </c>
      <c r="R233" t="s">
        <v>50</v>
      </c>
      <c r="S233" t="s">
        <v>50</v>
      </c>
      <c r="T233" s="1">
        <v>18.33870185</v>
      </c>
      <c r="U233" s="1">
        <v>10.33943026</v>
      </c>
      <c r="V233" s="1">
        <v>3.8720374999999998</v>
      </c>
      <c r="W233" s="1">
        <v>1.1967893999999999</v>
      </c>
      <c r="X233" t="s">
        <v>50</v>
      </c>
      <c r="Y233" s="1">
        <v>6.2600000000000003E-2</v>
      </c>
      <c r="Z233" s="1">
        <v>0.6</v>
      </c>
      <c r="AA233" s="1">
        <v>1.28</v>
      </c>
      <c r="AB233" t="s">
        <v>50</v>
      </c>
      <c r="AC233" s="1">
        <v>0.27239999999999998</v>
      </c>
      <c r="AD233" t="s">
        <v>50</v>
      </c>
      <c r="AE233" t="s">
        <v>50</v>
      </c>
      <c r="AF233" s="1">
        <v>0.1023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776</v>
      </c>
      <c r="AQ233" s="1">
        <v>11167</v>
      </c>
      <c r="AR233" t="s">
        <v>51</v>
      </c>
    </row>
    <row r="234" spans="1:44">
      <c r="A234" s="1">
        <v>109227</v>
      </c>
      <c r="B234" s="1">
        <v>109229</v>
      </c>
      <c r="C234" s="1">
        <v>91885</v>
      </c>
      <c r="D234" t="s">
        <v>773</v>
      </c>
      <c r="E234" t="s">
        <v>774</v>
      </c>
      <c r="F234" t="str">
        <f>VLOOKUP(E234,Tabela2[#All],2,FALSE)</f>
        <v>BASE TAÇA</v>
      </c>
      <c r="G234" t="s">
        <v>775</v>
      </c>
      <c r="H234" s="1">
        <v>1.01</v>
      </c>
      <c r="I234" s="1">
        <v>1.35</v>
      </c>
      <c r="J234" t="s">
        <v>46</v>
      </c>
      <c r="K234" s="1">
        <v>56.126862000000003</v>
      </c>
      <c r="L234" s="1">
        <v>8</v>
      </c>
      <c r="M234" s="1">
        <v>20.81</v>
      </c>
      <c r="N234" s="1">
        <v>32901</v>
      </c>
      <c r="O234" t="s">
        <v>534</v>
      </c>
      <c r="P234" t="s">
        <v>730</v>
      </c>
      <c r="Q234" t="s">
        <v>49</v>
      </c>
      <c r="R234" t="s">
        <v>50</v>
      </c>
      <c r="S234" t="s">
        <v>50</v>
      </c>
      <c r="T234" s="1">
        <v>18.33870185</v>
      </c>
      <c r="U234" s="1">
        <v>10.33943026</v>
      </c>
      <c r="V234" s="1">
        <v>3.8720374999999998</v>
      </c>
      <c r="W234" s="1">
        <v>1.1967893999999999</v>
      </c>
      <c r="X234" t="s">
        <v>50</v>
      </c>
      <c r="Y234" s="1">
        <v>6.2600000000000003E-2</v>
      </c>
      <c r="Z234" s="1">
        <v>0.6</v>
      </c>
      <c r="AA234" s="1">
        <v>1.28</v>
      </c>
      <c r="AB234" t="s">
        <v>50</v>
      </c>
      <c r="AC234" s="1">
        <v>0.27239999999999998</v>
      </c>
      <c r="AD234" t="s">
        <v>50</v>
      </c>
      <c r="AE234" t="s">
        <v>50</v>
      </c>
      <c r="AF234" s="1">
        <v>0.1023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776</v>
      </c>
      <c r="AQ234" s="1">
        <v>11167</v>
      </c>
      <c r="AR234" t="s">
        <v>51</v>
      </c>
    </row>
    <row r="235" spans="1:44">
      <c r="A235" s="1">
        <v>107607</v>
      </c>
      <c r="B235" s="1">
        <v>107609</v>
      </c>
      <c r="C235" s="1">
        <v>90305</v>
      </c>
      <c r="D235" t="s">
        <v>777</v>
      </c>
      <c r="E235" t="s">
        <v>778</v>
      </c>
      <c r="F235" t="str">
        <f>VLOOKUP(E235,Tabela2[#All],2,FALSE)</f>
        <v>REVOLVER</v>
      </c>
      <c r="G235" t="s">
        <v>779</v>
      </c>
      <c r="H235" s="1">
        <v>2.6080000000000001</v>
      </c>
      <c r="I235" s="1">
        <v>2.6080000000000001</v>
      </c>
      <c r="J235" t="s">
        <v>46</v>
      </c>
      <c r="K235" s="1">
        <v>50.953471</v>
      </c>
      <c r="L235" s="1">
        <v>2</v>
      </c>
      <c r="M235" s="1">
        <v>13.11</v>
      </c>
      <c r="N235" s="1">
        <v>32900</v>
      </c>
      <c r="O235" t="s">
        <v>47</v>
      </c>
      <c r="P235" t="s">
        <v>753</v>
      </c>
      <c r="Q235" t="s">
        <v>49</v>
      </c>
      <c r="R235" t="s">
        <v>50</v>
      </c>
      <c r="S235" s="1">
        <v>0.81899999999999995</v>
      </c>
      <c r="T235" s="1">
        <v>37.86127304</v>
      </c>
      <c r="U235" s="1">
        <v>24.912163329999998</v>
      </c>
      <c r="V235" s="1">
        <v>9.2347999999999999</v>
      </c>
      <c r="W235" s="1">
        <v>3.0903235200000001</v>
      </c>
      <c r="X235" t="s">
        <v>50</v>
      </c>
      <c r="Y235" s="1">
        <v>0.12</v>
      </c>
      <c r="Z235" t="s">
        <v>50</v>
      </c>
      <c r="AA235" s="1">
        <v>2.2446999999999999</v>
      </c>
      <c r="AB235" t="s">
        <v>50</v>
      </c>
      <c r="AC235" s="1">
        <v>0.62549999999999994</v>
      </c>
      <c r="AD235" t="s">
        <v>50</v>
      </c>
      <c r="AE235" t="s">
        <v>50</v>
      </c>
      <c r="AF235" s="1">
        <v>0.40920000000000001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780</v>
      </c>
      <c r="AQ235" s="1">
        <v>10747</v>
      </c>
      <c r="AR235" t="s">
        <v>51</v>
      </c>
    </row>
    <row r="236" spans="1:44">
      <c r="A236" s="1">
        <v>107607</v>
      </c>
      <c r="B236" s="1">
        <v>107609</v>
      </c>
      <c r="C236" s="1">
        <v>90305</v>
      </c>
      <c r="D236" t="s">
        <v>777</v>
      </c>
      <c r="E236" t="s">
        <v>778</v>
      </c>
      <c r="F236" t="str">
        <f>VLOOKUP(E236,Tabela2[#All],2,FALSE)</f>
        <v>REVOLVER</v>
      </c>
      <c r="G236" t="s">
        <v>779</v>
      </c>
      <c r="H236" s="1">
        <v>2.6080000000000001</v>
      </c>
      <c r="I236" s="1">
        <v>2.6080000000000001</v>
      </c>
      <c r="J236" t="s">
        <v>46</v>
      </c>
      <c r="K236" s="1">
        <v>50.953471</v>
      </c>
      <c r="L236" s="1">
        <v>2</v>
      </c>
      <c r="M236" s="1">
        <v>13.11</v>
      </c>
      <c r="N236" s="1">
        <v>32900</v>
      </c>
      <c r="O236" t="s">
        <v>47</v>
      </c>
      <c r="P236" t="s">
        <v>730</v>
      </c>
      <c r="Q236" t="s">
        <v>49</v>
      </c>
      <c r="R236" t="s">
        <v>50</v>
      </c>
      <c r="S236" s="1">
        <v>0.81899999999999995</v>
      </c>
      <c r="T236" s="1">
        <v>37.86127304</v>
      </c>
      <c r="U236" s="1">
        <v>24.912163329999998</v>
      </c>
      <c r="V236" s="1">
        <v>9.2347999999999999</v>
      </c>
      <c r="W236" s="1">
        <v>3.0903235200000001</v>
      </c>
      <c r="X236" t="s">
        <v>50</v>
      </c>
      <c r="Y236" s="1">
        <v>0.12</v>
      </c>
      <c r="Z236" t="s">
        <v>50</v>
      </c>
      <c r="AA236" s="1">
        <v>2.2446999999999999</v>
      </c>
      <c r="AB236" t="s">
        <v>50</v>
      </c>
      <c r="AC236" s="1">
        <v>0.62549999999999994</v>
      </c>
      <c r="AD236" t="s">
        <v>50</v>
      </c>
      <c r="AE236" t="s">
        <v>50</v>
      </c>
      <c r="AF236" s="1">
        <v>0.40920000000000001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780</v>
      </c>
      <c r="AQ236" s="1">
        <v>10747</v>
      </c>
      <c r="AR236" t="s">
        <v>51</v>
      </c>
    </row>
    <row r="237" spans="1:44">
      <c r="A237" s="1">
        <v>113087</v>
      </c>
      <c r="B237" s="1">
        <v>113089</v>
      </c>
      <c r="C237" s="1">
        <v>95611</v>
      </c>
      <c r="D237" t="s">
        <v>781</v>
      </c>
      <c r="E237" t="s">
        <v>782</v>
      </c>
      <c r="F237" t="str">
        <f>VLOOKUP(E237,Tabela2[#All],2,FALSE)</f>
        <v>TAÇA</v>
      </c>
      <c r="G237" t="s">
        <v>783</v>
      </c>
      <c r="H237" s="1">
        <v>1.45</v>
      </c>
      <c r="I237" s="1">
        <v>1.45</v>
      </c>
      <c r="J237" t="s">
        <v>46</v>
      </c>
      <c r="K237" s="1">
        <v>48.392569000000002</v>
      </c>
      <c r="L237" s="1">
        <v>3</v>
      </c>
      <c r="M237" s="1">
        <v>12.38</v>
      </c>
      <c r="N237" s="1">
        <v>32901</v>
      </c>
      <c r="O237" t="s">
        <v>534</v>
      </c>
      <c r="P237" t="s">
        <v>753</v>
      </c>
      <c r="Q237" t="s">
        <v>49</v>
      </c>
      <c r="R237" t="s">
        <v>50</v>
      </c>
      <c r="S237" s="1">
        <v>0.56200000000000006</v>
      </c>
      <c r="T237" s="1">
        <v>27.058403630000001</v>
      </c>
      <c r="U237" s="1">
        <v>15.63594082</v>
      </c>
      <c r="V237" s="1">
        <v>5.7423999999999999</v>
      </c>
      <c r="W237" s="1">
        <v>1.7181630000000001</v>
      </c>
      <c r="X237" s="1">
        <v>0.41660000000000003</v>
      </c>
      <c r="Y237" s="1">
        <v>3.7499999999999999E-2</v>
      </c>
      <c r="Z237" t="s">
        <v>50</v>
      </c>
      <c r="AA237" s="1">
        <v>1.06</v>
      </c>
      <c r="AB237" t="s">
        <v>50</v>
      </c>
      <c r="AC237" s="1">
        <v>0.96189999999999998</v>
      </c>
      <c r="AD237" t="s">
        <v>50</v>
      </c>
      <c r="AE237" t="s">
        <v>50</v>
      </c>
      <c r="AF237" s="1">
        <v>0.23066400000000001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784</v>
      </c>
      <c r="AQ237" s="1">
        <v>12047</v>
      </c>
      <c r="AR237" t="s">
        <v>51</v>
      </c>
    </row>
    <row r="238" spans="1:44">
      <c r="A238" s="1">
        <v>113087</v>
      </c>
      <c r="B238" s="1">
        <v>113089</v>
      </c>
      <c r="C238" s="1">
        <v>95611</v>
      </c>
      <c r="D238" t="s">
        <v>781</v>
      </c>
      <c r="E238" t="s">
        <v>782</v>
      </c>
      <c r="F238" t="str">
        <f>VLOOKUP(E238,Tabela2[#All],2,FALSE)</f>
        <v>TAÇA</v>
      </c>
      <c r="G238" t="s">
        <v>783</v>
      </c>
      <c r="H238" s="1">
        <v>1.45</v>
      </c>
      <c r="I238" s="1">
        <v>1.45</v>
      </c>
      <c r="J238" t="s">
        <v>46</v>
      </c>
      <c r="K238" s="1">
        <v>48.392569000000002</v>
      </c>
      <c r="L238" s="1">
        <v>3</v>
      </c>
      <c r="M238" s="1">
        <v>12.38</v>
      </c>
      <c r="N238" s="1">
        <v>32901</v>
      </c>
      <c r="O238" t="s">
        <v>534</v>
      </c>
      <c r="P238" t="s">
        <v>730</v>
      </c>
      <c r="Q238" t="s">
        <v>49</v>
      </c>
      <c r="R238" t="s">
        <v>50</v>
      </c>
      <c r="S238" s="1">
        <v>0.56200000000000006</v>
      </c>
      <c r="T238" s="1">
        <v>27.058403630000001</v>
      </c>
      <c r="U238" s="1">
        <v>15.63594082</v>
      </c>
      <c r="V238" s="1">
        <v>5.7423999999999999</v>
      </c>
      <c r="W238" s="1">
        <v>1.7181630000000001</v>
      </c>
      <c r="X238" s="1">
        <v>0.41660000000000003</v>
      </c>
      <c r="Y238" s="1">
        <v>3.7499999999999999E-2</v>
      </c>
      <c r="Z238" t="s">
        <v>50</v>
      </c>
      <c r="AA238" s="1">
        <v>1.06</v>
      </c>
      <c r="AB238" t="s">
        <v>50</v>
      </c>
      <c r="AC238" s="1">
        <v>0.96189999999999998</v>
      </c>
      <c r="AD238" t="s">
        <v>50</v>
      </c>
      <c r="AE238" t="s">
        <v>50</v>
      </c>
      <c r="AF238" s="1">
        <v>0.23066400000000001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784</v>
      </c>
      <c r="AQ238" s="1">
        <v>12047</v>
      </c>
      <c r="AR238" t="s">
        <v>51</v>
      </c>
    </row>
    <row r="239" spans="1:44">
      <c r="A239" s="1">
        <v>113367</v>
      </c>
      <c r="B239" s="1">
        <v>113369</v>
      </c>
      <c r="C239" s="1">
        <v>95891</v>
      </c>
      <c r="D239" t="s">
        <v>785</v>
      </c>
      <c r="E239" t="s">
        <v>786</v>
      </c>
      <c r="F239" t="str">
        <f>VLOOKUP(E239,Tabela2[#All],2,FALSE)</f>
        <v>FLANGE TAÇA</v>
      </c>
      <c r="G239" t="s">
        <v>787</v>
      </c>
      <c r="H239" s="1">
        <v>3.91</v>
      </c>
      <c r="I239" s="1">
        <v>5.58</v>
      </c>
      <c r="J239" t="s">
        <v>46</v>
      </c>
      <c r="K239" s="1">
        <v>58.985201000000004</v>
      </c>
      <c r="L239" s="1">
        <v>2</v>
      </c>
      <c r="M239" s="1">
        <v>20.350000000000001</v>
      </c>
      <c r="N239" s="1">
        <v>32900</v>
      </c>
      <c r="O239" t="s">
        <v>47</v>
      </c>
      <c r="P239" t="s">
        <v>730</v>
      </c>
      <c r="Q239" t="s">
        <v>49</v>
      </c>
      <c r="R239" t="s">
        <v>50</v>
      </c>
      <c r="S239" t="s">
        <v>50</v>
      </c>
      <c r="T239" s="1">
        <v>57.960471640000002</v>
      </c>
      <c r="U239" s="1">
        <v>37.816382410000003</v>
      </c>
      <c r="V239" s="1">
        <v>14.797549999999999</v>
      </c>
      <c r="W239" s="1">
        <v>4.6331154000000003</v>
      </c>
      <c r="X239" s="1">
        <v>0.6</v>
      </c>
      <c r="Y239" s="1">
        <v>0.114</v>
      </c>
      <c r="Z239" s="1">
        <v>0.5</v>
      </c>
      <c r="AA239" s="1">
        <v>3.733333</v>
      </c>
      <c r="AB239" t="s">
        <v>50</v>
      </c>
      <c r="AC239" s="1">
        <v>1.6908000000000001</v>
      </c>
      <c r="AD239" t="s">
        <v>50</v>
      </c>
      <c r="AE239" t="s">
        <v>50</v>
      </c>
      <c r="AF239" s="1">
        <v>0.42870000000000003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s="1">
        <v>5.46</v>
      </c>
      <c r="AO239" t="s">
        <v>50</v>
      </c>
      <c r="AP239" t="s">
        <v>788</v>
      </c>
      <c r="AQ239" s="1">
        <v>12127</v>
      </c>
      <c r="AR239" t="s">
        <v>51</v>
      </c>
    </row>
    <row r="240" spans="1:44">
      <c r="A240" s="1">
        <v>113367</v>
      </c>
      <c r="B240" s="1">
        <v>113369</v>
      </c>
      <c r="C240" s="1">
        <v>95891</v>
      </c>
      <c r="D240" t="s">
        <v>785</v>
      </c>
      <c r="E240" t="s">
        <v>786</v>
      </c>
      <c r="F240" t="str">
        <f>VLOOKUP(E240,Tabela2[#All],2,FALSE)</f>
        <v>FLANGE TAÇA</v>
      </c>
      <c r="G240" t="s">
        <v>787</v>
      </c>
      <c r="H240" s="1">
        <v>3.91</v>
      </c>
      <c r="I240" s="1">
        <v>5.58</v>
      </c>
      <c r="J240" t="s">
        <v>46</v>
      </c>
      <c r="K240" s="1">
        <v>58.985201000000004</v>
      </c>
      <c r="L240" s="1">
        <v>2</v>
      </c>
      <c r="M240" s="1">
        <v>20.350000000000001</v>
      </c>
      <c r="N240" s="1">
        <v>32900</v>
      </c>
      <c r="O240" t="s">
        <v>47</v>
      </c>
      <c r="P240" t="s">
        <v>753</v>
      </c>
      <c r="Q240" t="s">
        <v>49</v>
      </c>
      <c r="R240" t="s">
        <v>50</v>
      </c>
      <c r="S240" t="s">
        <v>50</v>
      </c>
      <c r="T240" s="1">
        <v>57.960471640000002</v>
      </c>
      <c r="U240" s="1">
        <v>37.816382410000003</v>
      </c>
      <c r="V240" s="1">
        <v>14.797549999999999</v>
      </c>
      <c r="W240" s="1">
        <v>4.6331154000000003</v>
      </c>
      <c r="X240" s="1">
        <v>0.6</v>
      </c>
      <c r="Y240" s="1">
        <v>0.114</v>
      </c>
      <c r="Z240" s="1">
        <v>0.5</v>
      </c>
      <c r="AA240" s="1">
        <v>3.733333</v>
      </c>
      <c r="AB240" t="s">
        <v>50</v>
      </c>
      <c r="AC240" s="1">
        <v>1.6908000000000001</v>
      </c>
      <c r="AD240" t="s">
        <v>50</v>
      </c>
      <c r="AE240" t="s">
        <v>50</v>
      </c>
      <c r="AF240" s="1">
        <v>0.42870000000000003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s="1">
        <v>5.46</v>
      </c>
      <c r="AO240" t="s">
        <v>50</v>
      </c>
      <c r="AP240" t="s">
        <v>788</v>
      </c>
      <c r="AQ240" s="1">
        <v>12127</v>
      </c>
      <c r="AR240" t="s">
        <v>51</v>
      </c>
    </row>
    <row r="241" spans="1:44">
      <c r="A241" s="1">
        <v>113347</v>
      </c>
      <c r="B241" s="1">
        <v>113349</v>
      </c>
      <c r="C241" s="1">
        <v>95871</v>
      </c>
      <c r="D241" t="s">
        <v>789</v>
      </c>
      <c r="E241" t="s">
        <v>790</v>
      </c>
      <c r="F241" t="str">
        <f>VLOOKUP(E241,Tabela2[#All],2,FALSE)</f>
        <v>REVOLVER</v>
      </c>
      <c r="G241" t="s">
        <v>791</v>
      </c>
      <c r="H241" s="1">
        <v>1.86</v>
      </c>
      <c r="I241" s="1">
        <v>1.86</v>
      </c>
      <c r="J241" t="s">
        <v>46</v>
      </c>
      <c r="K241" s="1">
        <v>55.837563000000003</v>
      </c>
      <c r="L241" s="1">
        <v>4</v>
      </c>
      <c r="M241" s="1">
        <v>15.53</v>
      </c>
      <c r="N241" s="1">
        <v>32900</v>
      </c>
      <c r="O241" t="s">
        <v>47</v>
      </c>
      <c r="P241" t="s">
        <v>730</v>
      </c>
      <c r="Q241" t="s">
        <v>49</v>
      </c>
      <c r="R241" t="s">
        <v>50</v>
      </c>
      <c r="S241" s="1">
        <v>0.76</v>
      </c>
      <c r="T241" s="1">
        <v>25.551684380000001</v>
      </c>
      <c r="U241" s="1">
        <v>15.192773649999999</v>
      </c>
      <c r="V241" s="1">
        <v>5.8422499999999999</v>
      </c>
      <c r="W241" s="1">
        <v>2.2039884000000001</v>
      </c>
      <c r="X241" s="1">
        <v>0.58819999999999995</v>
      </c>
      <c r="Y241" s="1">
        <v>0.13930000000000001</v>
      </c>
      <c r="Z241" t="s">
        <v>50</v>
      </c>
      <c r="AA241" s="1">
        <v>1.6797</v>
      </c>
      <c r="AB241" t="s">
        <v>50</v>
      </c>
      <c r="AC241" s="1">
        <v>1.073</v>
      </c>
      <c r="AD241" t="s">
        <v>50</v>
      </c>
      <c r="AE241" t="s">
        <v>50</v>
      </c>
      <c r="AF241" s="1">
        <v>0.2046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792</v>
      </c>
      <c r="AQ241" s="1">
        <v>12107</v>
      </c>
      <c r="AR241" t="s">
        <v>51</v>
      </c>
    </row>
    <row r="242" spans="1:44">
      <c r="A242" s="1">
        <v>113347</v>
      </c>
      <c r="B242" s="1">
        <v>113349</v>
      </c>
      <c r="C242" s="1">
        <v>95871</v>
      </c>
      <c r="D242" t="s">
        <v>789</v>
      </c>
      <c r="E242" t="s">
        <v>790</v>
      </c>
      <c r="F242" t="str">
        <f>VLOOKUP(E242,Tabela2[#All],2,FALSE)</f>
        <v>REVOLVER</v>
      </c>
      <c r="G242" t="s">
        <v>791</v>
      </c>
      <c r="H242" s="1">
        <v>1.86</v>
      </c>
      <c r="I242" s="1">
        <v>1.86</v>
      </c>
      <c r="J242" t="s">
        <v>46</v>
      </c>
      <c r="K242" s="1">
        <v>55.837563000000003</v>
      </c>
      <c r="L242" s="1">
        <v>4</v>
      </c>
      <c r="M242" s="1">
        <v>15.53</v>
      </c>
      <c r="N242" s="1">
        <v>32900</v>
      </c>
      <c r="O242" t="s">
        <v>47</v>
      </c>
      <c r="P242" t="s">
        <v>753</v>
      </c>
      <c r="Q242" t="s">
        <v>49</v>
      </c>
      <c r="R242" t="s">
        <v>50</v>
      </c>
      <c r="S242" s="1">
        <v>0.76</v>
      </c>
      <c r="T242" s="1">
        <v>25.551684380000001</v>
      </c>
      <c r="U242" s="1">
        <v>15.192773649999999</v>
      </c>
      <c r="V242" s="1">
        <v>5.8422499999999999</v>
      </c>
      <c r="W242" s="1">
        <v>2.2039884000000001</v>
      </c>
      <c r="X242" s="1">
        <v>0.58819999999999995</v>
      </c>
      <c r="Y242" s="1">
        <v>0.13930000000000001</v>
      </c>
      <c r="Z242" t="s">
        <v>50</v>
      </c>
      <c r="AA242" s="1">
        <v>1.6797</v>
      </c>
      <c r="AB242" t="s">
        <v>50</v>
      </c>
      <c r="AC242" s="1">
        <v>1.073</v>
      </c>
      <c r="AD242" t="s">
        <v>50</v>
      </c>
      <c r="AE242" t="s">
        <v>50</v>
      </c>
      <c r="AF242" s="1">
        <v>0.2046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792</v>
      </c>
      <c r="AQ242" s="1">
        <v>12107</v>
      </c>
      <c r="AR242" t="s">
        <v>51</v>
      </c>
    </row>
    <row r="243" spans="1:44">
      <c r="A243" s="1">
        <v>120191</v>
      </c>
      <c r="B243" s="1">
        <v>120193</v>
      </c>
      <c r="C243" s="1">
        <v>102394</v>
      </c>
      <c r="D243" t="s">
        <v>793</v>
      </c>
      <c r="E243" t="s">
        <v>794</v>
      </c>
      <c r="F243" t="str">
        <f>VLOOKUP(E243,Tabela2[#All],2,FALSE)</f>
        <v>BASE TAÇA</v>
      </c>
      <c r="G243" t="s">
        <v>795</v>
      </c>
      <c r="H243" s="1">
        <v>4.08</v>
      </c>
      <c r="I243" s="1">
        <v>4.08</v>
      </c>
      <c r="J243" t="s">
        <v>46</v>
      </c>
      <c r="K243" s="1">
        <v>55.566904999999998</v>
      </c>
      <c r="L243" s="1">
        <v>2</v>
      </c>
      <c r="M243" s="1">
        <v>19.579999999999998</v>
      </c>
      <c r="N243" s="1">
        <v>32900</v>
      </c>
      <c r="O243" t="s">
        <v>47</v>
      </c>
      <c r="P243" t="s">
        <v>730</v>
      </c>
      <c r="Q243" t="s">
        <v>49</v>
      </c>
      <c r="R243" t="s">
        <v>50</v>
      </c>
      <c r="S243" t="s">
        <v>50</v>
      </c>
      <c r="T243" s="1">
        <v>58.368988799999997</v>
      </c>
      <c r="U243" s="1">
        <v>36.393194149999999</v>
      </c>
      <c r="V243" s="1">
        <v>14.5511</v>
      </c>
      <c r="W243" s="1">
        <v>4.8345551999999996</v>
      </c>
      <c r="X243" s="1">
        <v>0.95</v>
      </c>
      <c r="Y243" s="1">
        <v>0.114</v>
      </c>
      <c r="Z243" s="1">
        <v>0.5</v>
      </c>
      <c r="AA243" s="1">
        <v>3.8108</v>
      </c>
      <c r="AB243" t="s">
        <v>50</v>
      </c>
      <c r="AC243" s="1">
        <v>2.0407999999999999</v>
      </c>
      <c r="AD243" t="s">
        <v>50</v>
      </c>
      <c r="AE243" t="s">
        <v>50</v>
      </c>
      <c r="AF243" s="1">
        <v>0.34599000000000002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796</v>
      </c>
      <c r="AQ243" s="1">
        <v>14407</v>
      </c>
      <c r="AR243" t="s">
        <v>51</v>
      </c>
    </row>
    <row r="244" spans="1:44">
      <c r="A244" s="1">
        <v>114932</v>
      </c>
      <c r="B244" s="1">
        <v>114928</v>
      </c>
      <c r="C244" s="1">
        <v>97410</v>
      </c>
      <c r="D244" t="s">
        <v>797</v>
      </c>
      <c r="E244" t="s">
        <v>798</v>
      </c>
      <c r="F244" t="str">
        <f>VLOOKUP(E244,Tabela2[#All],2,FALSE)</f>
        <v>PATA DE VACA</v>
      </c>
      <c r="G244" t="s">
        <v>799</v>
      </c>
      <c r="H244" s="1">
        <v>2.54</v>
      </c>
      <c r="I244" s="1">
        <v>2.54</v>
      </c>
      <c r="J244" t="s">
        <v>46</v>
      </c>
      <c r="K244" s="1">
        <v>54.417670999999999</v>
      </c>
      <c r="L244" s="1">
        <v>3</v>
      </c>
      <c r="M244" s="1">
        <v>14.94</v>
      </c>
      <c r="N244" s="1">
        <v>32900</v>
      </c>
      <c r="O244" t="s">
        <v>47</v>
      </c>
      <c r="P244" t="s">
        <v>730</v>
      </c>
      <c r="Q244" t="s">
        <v>49</v>
      </c>
      <c r="R244" t="s">
        <v>50</v>
      </c>
      <c r="S244" s="1">
        <v>0.4</v>
      </c>
      <c r="T244" s="1">
        <v>9.8418602699999997</v>
      </c>
      <c r="U244" s="1">
        <v>22.104153790000002</v>
      </c>
      <c r="V244" s="1">
        <v>7.7054999999999998</v>
      </c>
      <c r="W244" s="1">
        <v>3.0097475999999999</v>
      </c>
      <c r="X244" t="s">
        <v>50</v>
      </c>
      <c r="Y244" s="1">
        <v>5.8900000000000001E-2</v>
      </c>
      <c r="Z244" t="s">
        <v>50</v>
      </c>
      <c r="AA244" s="1">
        <v>1.6263000000000001</v>
      </c>
      <c r="AB244" t="s">
        <v>50</v>
      </c>
      <c r="AC244" s="1">
        <v>0.54520000000000002</v>
      </c>
      <c r="AD244" t="s">
        <v>50</v>
      </c>
      <c r="AE244" t="s">
        <v>50</v>
      </c>
      <c r="AF244" s="1">
        <v>0.2727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800</v>
      </c>
      <c r="AQ244" s="1">
        <v>12727</v>
      </c>
      <c r="AR244" t="s">
        <v>51</v>
      </c>
    </row>
    <row r="245" spans="1:44">
      <c r="A245" s="1">
        <v>114932</v>
      </c>
      <c r="B245" s="1">
        <v>114928</v>
      </c>
      <c r="C245" s="1">
        <v>97410</v>
      </c>
      <c r="D245" t="s">
        <v>797</v>
      </c>
      <c r="E245" t="s">
        <v>798</v>
      </c>
      <c r="F245" t="str">
        <f>VLOOKUP(E245,Tabela2[#All],2,FALSE)</f>
        <v>PATA DE VACA</v>
      </c>
      <c r="G245" t="s">
        <v>799</v>
      </c>
      <c r="H245" s="1">
        <v>2.54</v>
      </c>
      <c r="I245" s="1">
        <v>2.54</v>
      </c>
      <c r="J245" t="s">
        <v>46</v>
      </c>
      <c r="K245" s="1">
        <v>54.417670999999999</v>
      </c>
      <c r="L245" s="1">
        <v>3</v>
      </c>
      <c r="M245" s="1">
        <v>14.94</v>
      </c>
      <c r="N245" s="1">
        <v>32900</v>
      </c>
      <c r="O245" t="s">
        <v>47</v>
      </c>
      <c r="P245" t="s">
        <v>753</v>
      </c>
      <c r="Q245" t="s">
        <v>49</v>
      </c>
      <c r="R245" t="s">
        <v>50</v>
      </c>
      <c r="S245" s="1">
        <v>0.4</v>
      </c>
      <c r="T245" s="1">
        <v>9.8418602699999997</v>
      </c>
      <c r="U245" s="1">
        <v>22.104153790000002</v>
      </c>
      <c r="V245" s="1">
        <v>7.7054999999999998</v>
      </c>
      <c r="W245" s="1">
        <v>3.0097475999999999</v>
      </c>
      <c r="X245" t="s">
        <v>50</v>
      </c>
      <c r="Y245" s="1">
        <v>5.8900000000000001E-2</v>
      </c>
      <c r="Z245" t="s">
        <v>50</v>
      </c>
      <c r="AA245" s="1">
        <v>1.6263000000000001</v>
      </c>
      <c r="AB245" t="s">
        <v>50</v>
      </c>
      <c r="AC245" s="1">
        <v>0.54520000000000002</v>
      </c>
      <c r="AD245" t="s">
        <v>50</v>
      </c>
      <c r="AE245" t="s">
        <v>50</v>
      </c>
      <c r="AF245" s="1">
        <v>0.2727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800</v>
      </c>
      <c r="AQ245" s="1">
        <v>12727</v>
      </c>
      <c r="AR245" t="s">
        <v>51</v>
      </c>
    </row>
    <row r="246" spans="1:44">
      <c r="A246" s="1">
        <v>113887</v>
      </c>
      <c r="B246" s="1">
        <v>113889</v>
      </c>
      <c r="C246" s="1">
        <v>96391</v>
      </c>
      <c r="D246" t="s">
        <v>801</v>
      </c>
      <c r="E246" t="s">
        <v>802</v>
      </c>
      <c r="F246" t="str">
        <f>VLOOKUP(E246,Tabela2[#All],2,FALSE)</f>
        <v>TOCO</v>
      </c>
      <c r="G246" t="s">
        <v>803</v>
      </c>
      <c r="H246" s="1">
        <v>3.48</v>
      </c>
      <c r="I246" s="1">
        <v>3.48</v>
      </c>
      <c r="J246" t="s">
        <v>46</v>
      </c>
      <c r="K246" s="1">
        <v>51.218130000000002</v>
      </c>
      <c r="L246" s="1">
        <v>2</v>
      </c>
      <c r="M246" s="1">
        <v>17.649999999999999</v>
      </c>
      <c r="N246" s="1">
        <v>32900</v>
      </c>
      <c r="O246" t="s">
        <v>47</v>
      </c>
      <c r="P246" t="s">
        <v>730</v>
      </c>
      <c r="Q246" t="s">
        <v>49</v>
      </c>
      <c r="R246" t="s">
        <v>50</v>
      </c>
      <c r="S246" s="1">
        <v>1.002</v>
      </c>
      <c r="T246" s="1">
        <v>45.08518033</v>
      </c>
      <c r="U246" s="1">
        <v>29.2217375</v>
      </c>
      <c r="V246" s="1">
        <v>0</v>
      </c>
      <c r="W246" s="1">
        <v>4.1235911999999999</v>
      </c>
      <c r="X246" s="1">
        <v>0.9</v>
      </c>
      <c r="Y246" s="1">
        <v>0.13730000000000001</v>
      </c>
      <c r="Z246" s="1">
        <v>0.88229999999999997</v>
      </c>
      <c r="AA246" s="1">
        <v>2.1903999999999999</v>
      </c>
      <c r="AB246" t="s">
        <v>50</v>
      </c>
      <c r="AC246" s="1">
        <v>1.6272</v>
      </c>
      <c r="AD246" t="s">
        <v>50</v>
      </c>
      <c r="AE246" t="s">
        <v>50</v>
      </c>
      <c r="AF246" s="1">
        <v>0.40920000000000001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804</v>
      </c>
      <c r="AQ246" s="1">
        <v>1286</v>
      </c>
      <c r="AR246" t="s">
        <v>51</v>
      </c>
    </row>
    <row r="247" spans="1:44">
      <c r="A247" s="1">
        <v>113887</v>
      </c>
      <c r="B247" s="1">
        <v>113889</v>
      </c>
      <c r="C247" s="1">
        <v>96391</v>
      </c>
      <c r="D247" t="s">
        <v>801</v>
      </c>
      <c r="E247" t="s">
        <v>802</v>
      </c>
      <c r="F247" t="str">
        <f>VLOOKUP(E247,Tabela2[#All],2,FALSE)</f>
        <v>TOCO</v>
      </c>
      <c r="G247" t="s">
        <v>803</v>
      </c>
      <c r="H247" s="1">
        <v>3.48</v>
      </c>
      <c r="I247" s="1">
        <v>3.48</v>
      </c>
      <c r="J247" t="s">
        <v>46</v>
      </c>
      <c r="K247" s="1">
        <v>51.218130000000002</v>
      </c>
      <c r="L247" s="1">
        <v>2</v>
      </c>
      <c r="M247" s="1">
        <v>17.649999999999999</v>
      </c>
      <c r="N247" s="1">
        <v>32900</v>
      </c>
      <c r="O247" t="s">
        <v>47</v>
      </c>
      <c r="P247" t="s">
        <v>753</v>
      </c>
      <c r="Q247" t="s">
        <v>49</v>
      </c>
      <c r="R247" t="s">
        <v>50</v>
      </c>
      <c r="S247" s="1">
        <v>1.002</v>
      </c>
      <c r="T247" s="1">
        <v>45.08518033</v>
      </c>
      <c r="U247" s="1">
        <v>29.2217375</v>
      </c>
      <c r="V247" s="1">
        <v>0</v>
      </c>
      <c r="W247" s="1">
        <v>4.1235911999999999</v>
      </c>
      <c r="X247" s="1">
        <v>0.9</v>
      </c>
      <c r="Y247" s="1">
        <v>0.13730000000000001</v>
      </c>
      <c r="Z247" s="1">
        <v>0.88229999999999997</v>
      </c>
      <c r="AA247" s="1">
        <v>2.1903999999999999</v>
      </c>
      <c r="AB247" t="s">
        <v>50</v>
      </c>
      <c r="AC247" s="1">
        <v>1.6272</v>
      </c>
      <c r="AD247" t="s">
        <v>50</v>
      </c>
      <c r="AE247" t="s">
        <v>50</v>
      </c>
      <c r="AF247" s="1">
        <v>0.40920000000000001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804</v>
      </c>
      <c r="AQ247" s="1">
        <v>1286</v>
      </c>
      <c r="AR247" t="s">
        <v>51</v>
      </c>
    </row>
    <row r="248" spans="1:44">
      <c r="A248" s="1">
        <v>113947</v>
      </c>
      <c r="B248" s="1">
        <v>113949</v>
      </c>
      <c r="C248" s="1">
        <v>96431</v>
      </c>
      <c r="D248" t="s">
        <v>805</v>
      </c>
      <c r="E248" t="s">
        <v>806</v>
      </c>
      <c r="F248" t="str">
        <f>VLOOKUP(E248,Tabela2[#All],2,FALSE)</f>
        <v>GANSO</v>
      </c>
      <c r="G248" t="s">
        <v>807</v>
      </c>
      <c r="H248" s="1">
        <v>1.83</v>
      </c>
      <c r="I248" s="1">
        <v>1.83</v>
      </c>
      <c r="J248" t="s">
        <v>46</v>
      </c>
      <c r="K248" s="1">
        <v>53.613053999999998</v>
      </c>
      <c r="L248" s="1">
        <v>3</v>
      </c>
      <c r="M248" s="1">
        <v>12.37</v>
      </c>
      <c r="N248" s="1">
        <v>32900</v>
      </c>
      <c r="O248" t="s">
        <v>47</v>
      </c>
      <c r="P248" t="s">
        <v>753</v>
      </c>
      <c r="Q248" t="s">
        <v>49</v>
      </c>
      <c r="R248" t="s">
        <v>50</v>
      </c>
      <c r="S248" s="1">
        <v>0.76</v>
      </c>
      <c r="T248" s="1">
        <v>32.08966539</v>
      </c>
      <c r="U248" s="1">
        <v>17.262137930000002</v>
      </c>
      <c r="V248" s="1">
        <v>0</v>
      </c>
      <c r="W248" s="1">
        <v>2.1684402</v>
      </c>
      <c r="X248" s="1">
        <v>0.3</v>
      </c>
      <c r="Y248" s="1">
        <v>0.2082</v>
      </c>
      <c r="Z248" s="1">
        <v>0.7036</v>
      </c>
      <c r="AA248" s="1">
        <v>1.85</v>
      </c>
      <c r="AB248" t="s">
        <v>50</v>
      </c>
      <c r="AC248" s="1">
        <v>0.65200000000000002</v>
      </c>
      <c r="AD248" t="s">
        <v>50</v>
      </c>
      <c r="AE248" t="s">
        <v>50</v>
      </c>
      <c r="AF248" s="1">
        <v>0.2727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808</v>
      </c>
      <c r="AQ248" s="1">
        <v>1288</v>
      </c>
      <c r="AR248" t="s">
        <v>51</v>
      </c>
    </row>
    <row r="249" spans="1:44">
      <c r="A249" s="1">
        <v>113947</v>
      </c>
      <c r="B249" s="1">
        <v>113949</v>
      </c>
      <c r="C249" s="1">
        <v>96431</v>
      </c>
      <c r="D249" t="s">
        <v>805</v>
      </c>
      <c r="E249" t="s">
        <v>806</v>
      </c>
      <c r="F249" t="str">
        <f>VLOOKUP(E249,Tabela2[#All],2,FALSE)</f>
        <v>GANSO</v>
      </c>
      <c r="G249" t="s">
        <v>807</v>
      </c>
      <c r="H249" s="1">
        <v>1.83</v>
      </c>
      <c r="I249" s="1">
        <v>1.83</v>
      </c>
      <c r="J249" t="s">
        <v>46</v>
      </c>
      <c r="K249" s="1">
        <v>53.613053999999998</v>
      </c>
      <c r="L249" s="1">
        <v>3</v>
      </c>
      <c r="M249" s="1">
        <v>12.37</v>
      </c>
      <c r="N249" s="1">
        <v>32900</v>
      </c>
      <c r="O249" t="s">
        <v>47</v>
      </c>
      <c r="P249" t="s">
        <v>730</v>
      </c>
      <c r="Q249" t="s">
        <v>49</v>
      </c>
      <c r="R249" t="s">
        <v>50</v>
      </c>
      <c r="S249" s="1">
        <v>0.76</v>
      </c>
      <c r="T249" s="1">
        <v>32.08966539</v>
      </c>
      <c r="U249" s="1">
        <v>17.262137930000002</v>
      </c>
      <c r="V249" s="1">
        <v>0</v>
      </c>
      <c r="W249" s="1">
        <v>2.1684402</v>
      </c>
      <c r="X249" s="1">
        <v>0.3</v>
      </c>
      <c r="Y249" s="1">
        <v>0.2082</v>
      </c>
      <c r="Z249" s="1">
        <v>0.7036</v>
      </c>
      <c r="AA249" s="1">
        <v>1.85</v>
      </c>
      <c r="AB249" t="s">
        <v>50</v>
      </c>
      <c r="AC249" s="1">
        <v>0.65200000000000002</v>
      </c>
      <c r="AD249" t="s">
        <v>50</v>
      </c>
      <c r="AE249" t="s">
        <v>50</v>
      </c>
      <c r="AF249" s="1">
        <v>0.2727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808</v>
      </c>
      <c r="AQ249" s="1">
        <v>1288</v>
      </c>
      <c r="AR249" t="s">
        <v>51</v>
      </c>
    </row>
    <row r="250" spans="1:44">
      <c r="A250" s="1">
        <v>114127</v>
      </c>
      <c r="B250" s="1">
        <v>114129</v>
      </c>
      <c r="C250" s="1">
        <v>96611</v>
      </c>
      <c r="D250" t="s">
        <v>809</v>
      </c>
      <c r="E250" t="s">
        <v>810</v>
      </c>
      <c r="F250" t="str">
        <f>VLOOKUP(E250,Tabela2[#All],2,FALSE)</f>
        <v>REVOLVER</v>
      </c>
      <c r="G250" t="s">
        <v>811</v>
      </c>
      <c r="H250" s="1">
        <v>2.544</v>
      </c>
      <c r="I250" s="1">
        <v>2.544</v>
      </c>
      <c r="J250" t="s">
        <v>46</v>
      </c>
      <c r="K250" s="1">
        <v>56.473829000000002</v>
      </c>
      <c r="L250" s="1">
        <v>2</v>
      </c>
      <c r="M250" s="1">
        <v>10.89</v>
      </c>
      <c r="N250" s="1">
        <v>32900</v>
      </c>
      <c r="O250" t="s">
        <v>47</v>
      </c>
      <c r="P250" t="s">
        <v>730</v>
      </c>
      <c r="Q250" t="s">
        <v>49</v>
      </c>
      <c r="R250" t="s">
        <v>50</v>
      </c>
      <c r="S250" s="1">
        <v>0.14499999999999999</v>
      </c>
      <c r="T250" s="1">
        <v>36.31218715</v>
      </c>
      <c r="U250" s="1">
        <v>23.369749519999999</v>
      </c>
      <c r="V250" s="1">
        <v>8.35595</v>
      </c>
      <c r="W250" s="1">
        <v>3.0144873599999999</v>
      </c>
      <c r="X250" t="s">
        <v>50</v>
      </c>
      <c r="Y250" s="1">
        <v>0.19159999999999999</v>
      </c>
      <c r="Z250" t="s">
        <v>50</v>
      </c>
      <c r="AA250" s="1">
        <v>2.4</v>
      </c>
      <c r="AB250" t="s">
        <v>50</v>
      </c>
      <c r="AC250" s="1">
        <v>0.64480000000000004</v>
      </c>
      <c r="AD250" t="s">
        <v>50</v>
      </c>
      <c r="AE250" t="s">
        <v>50</v>
      </c>
      <c r="AF250" s="1">
        <v>0.40920000000000001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s="1">
        <v>1.5375000000000001</v>
      </c>
      <c r="AO250" t="s">
        <v>50</v>
      </c>
      <c r="AP250" t="s">
        <v>812</v>
      </c>
      <c r="AQ250" s="1">
        <v>12447</v>
      </c>
      <c r="AR250" t="s">
        <v>51</v>
      </c>
    </row>
    <row r="251" spans="1:44">
      <c r="A251" s="1">
        <v>114392</v>
      </c>
      <c r="B251" s="1">
        <v>114388</v>
      </c>
      <c r="C251" s="1">
        <v>96870</v>
      </c>
      <c r="D251" t="s">
        <v>813</v>
      </c>
      <c r="E251" t="s">
        <v>814</v>
      </c>
      <c r="F251" t="str">
        <f>VLOOKUP(E251,Tabela2[#All],2,FALSE)</f>
        <v>TAÇA</v>
      </c>
      <c r="G251" t="s">
        <v>815</v>
      </c>
      <c r="H251" s="1">
        <v>1.97</v>
      </c>
      <c r="I251" s="1">
        <v>1.97</v>
      </c>
      <c r="J251" t="s">
        <v>46</v>
      </c>
      <c r="K251" s="1">
        <v>53.076923000000001</v>
      </c>
      <c r="L251" s="1">
        <v>3</v>
      </c>
      <c r="M251" s="1">
        <v>15.6</v>
      </c>
      <c r="N251" s="1">
        <v>32900</v>
      </c>
      <c r="O251" t="s">
        <v>47</v>
      </c>
      <c r="P251" t="s">
        <v>753</v>
      </c>
      <c r="Q251" t="s">
        <v>49</v>
      </c>
      <c r="R251" t="s">
        <v>50</v>
      </c>
      <c r="S251" s="1">
        <v>0.65</v>
      </c>
      <c r="T251" s="1">
        <v>41.989233390000003</v>
      </c>
      <c r="U251" s="1">
        <v>24.291807940000002</v>
      </c>
      <c r="V251" s="1">
        <v>11.267049999999999</v>
      </c>
      <c r="W251" s="1">
        <v>2.3343318000000002</v>
      </c>
      <c r="X251" t="s">
        <v>50</v>
      </c>
      <c r="Y251" s="1">
        <v>0.1031</v>
      </c>
      <c r="Z251" s="1">
        <v>0.6</v>
      </c>
      <c r="AA251" s="1">
        <v>4</v>
      </c>
      <c r="AB251" t="s">
        <v>50</v>
      </c>
      <c r="AC251" s="1">
        <v>1.6362000000000001</v>
      </c>
      <c r="AD251" t="s">
        <v>50</v>
      </c>
      <c r="AE251" t="s">
        <v>50</v>
      </c>
      <c r="AF251" s="1">
        <v>0.40920000000000001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816</v>
      </c>
      <c r="AQ251" s="1">
        <v>12567</v>
      </c>
      <c r="AR251" t="s">
        <v>51</v>
      </c>
    </row>
    <row r="252" spans="1:44">
      <c r="A252" s="1">
        <v>120617</v>
      </c>
      <c r="B252" s="1">
        <v>120619</v>
      </c>
      <c r="C252" s="1">
        <v>102759</v>
      </c>
      <c r="D252" t="s">
        <v>817</v>
      </c>
      <c r="E252" t="s">
        <v>818</v>
      </c>
      <c r="F252" t="str">
        <f>VLOOKUP(E252,Tabela2[#All],2,FALSE)</f>
        <v>BASE TAÇA</v>
      </c>
      <c r="G252" t="s">
        <v>819</v>
      </c>
      <c r="H252" s="1">
        <v>2.44</v>
      </c>
      <c r="I252" s="1">
        <v>2.44</v>
      </c>
      <c r="J252" t="s">
        <v>46</v>
      </c>
      <c r="K252" s="1">
        <v>54.246575</v>
      </c>
      <c r="L252" s="1">
        <v>2</v>
      </c>
      <c r="M252" s="1">
        <v>10.95</v>
      </c>
      <c r="N252" s="1">
        <v>32900</v>
      </c>
      <c r="O252" t="s">
        <v>47</v>
      </c>
      <c r="P252" t="s">
        <v>730</v>
      </c>
      <c r="Q252" t="s">
        <v>49</v>
      </c>
      <c r="R252" t="s">
        <v>50</v>
      </c>
      <c r="S252" s="1">
        <v>0.28100000000000003</v>
      </c>
      <c r="T252" s="1">
        <v>12.21378464</v>
      </c>
      <c r="U252" s="1">
        <v>22.726164990000001</v>
      </c>
      <c r="V252" s="1">
        <v>8.1971000000000007</v>
      </c>
      <c r="W252" s="1">
        <v>2.8912536000000002</v>
      </c>
      <c r="X252" t="s">
        <v>50</v>
      </c>
      <c r="Y252" s="1">
        <v>0.1482</v>
      </c>
      <c r="Z252" t="s">
        <v>50</v>
      </c>
      <c r="AA252" s="1">
        <v>2.976</v>
      </c>
      <c r="AB252" t="s">
        <v>50</v>
      </c>
      <c r="AC252" s="1">
        <v>0.72719999999999996</v>
      </c>
      <c r="AD252" t="s">
        <v>50</v>
      </c>
      <c r="AE252" t="s">
        <v>50</v>
      </c>
      <c r="AF252" s="1">
        <v>0.34589999999999999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820</v>
      </c>
      <c r="AQ252" s="1">
        <v>14629</v>
      </c>
      <c r="AR252" t="s">
        <v>51</v>
      </c>
    </row>
    <row r="253" spans="1:44">
      <c r="A253" s="1">
        <v>86006</v>
      </c>
      <c r="B253" s="1">
        <v>86007</v>
      </c>
      <c r="C253" s="1">
        <v>78235</v>
      </c>
      <c r="D253" t="s">
        <v>821</v>
      </c>
      <c r="E253" t="s">
        <v>822</v>
      </c>
      <c r="F253" t="str">
        <f>VLOOKUP(E253,Tabela2[#All],2,FALSE)</f>
        <v>SAPATÃO</v>
      </c>
      <c r="G253" t="s">
        <v>823</v>
      </c>
      <c r="H253" s="1">
        <v>1.51</v>
      </c>
      <c r="I253" s="1">
        <v>1.51</v>
      </c>
      <c r="J253" t="s">
        <v>46</v>
      </c>
      <c r="K253" s="1">
        <v>40.866034999999997</v>
      </c>
      <c r="L253" s="1">
        <v>2</v>
      </c>
      <c r="M253" s="1">
        <v>7.39</v>
      </c>
      <c r="N253" s="1">
        <v>32901</v>
      </c>
      <c r="O253" t="s">
        <v>534</v>
      </c>
      <c r="P253" t="s">
        <v>615</v>
      </c>
      <c r="Q253" t="s">
        <v>49</v>
      </c>
      <c r="R253" t="s">
        <v>50</v>
      </c>
      <c r="S253" s="1">
        <v>0.33300000000000002</v>
      </c>
      <c r="T253" s="1">
        <v>25.02161693</v>
      </c>
      <c r="U253" s="1">
        <v>18.343914989999998</v>
      </c>
      <c r="V253" s="1">
        <v>4.5528000000000004</v>
      </c>
      <c r="W253" s="1">
        <v>0</v>
      </c>
      <c r="X253" t="s">
        <v>50</v>
      </c>
      <c r="Y253" s="1">
        <v>0.13900000000000001</v>
      </c>
      <c r="Z253" t="s">
        <v>50</v>
      </c>
      <c r="AA253" t="s">
        <v>50</v>
      </c>
      <c r="AB253" t="s">
        <v>50</v>
      </c>
      <c r="AC253" s="1">
        <v>0.87719999999999998</v>
      </c>
      <c r="AD253" t="s">
        <v>50</v>
      </c>
      <c r="AE253" t="s">
        <v>50</v>
      </c>
      <c r="AF253" s="1">
        <v>0.36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824</v>
      </c>
      <c r="AQ253" s="1">
        <v>8167</v>
      </c>
      <c r="AR253" t="s">
        <v>51</v>
      </c>
    </row>
    <row r="254" spans="1:44">
      <c r="A254" s="1">
        <v>37386</v>
      </c>
      <c r="B254" s="1">
        <v>38612</v>
      </c>
      <c r="C254" s="1">
        <v>35156</v>
      </c>
      <c r="D254" t="s">
        <v>825</v>
      </c>
      <c r="E254" t="s">
        <v>826</v>
      </c>
      <c r="F254" t="str">
        <f>VLOOKUP(E254,Tabela2[#All],2,FALSE)</f>
        <v>ABRAÇADEIRA</v>
      </c>
      <c r="G254" t="s">
        <v>827</v>
      </c>
      <c r="H254" s="1">
        <v>7.1999999999999995E-2</v>
      </c>
      <c r="I254" s="1">
        <v>7.1999999999999995E-2</v>
      </c>
      <c r="J254" t="s">
        <v>46</v>
      </c>
      <c r="K254" s="1">
        <v>25.163398999999998</v>
      </c>
      <c r="L254" s="1">
        <v>22</v>
      </c>
      <c r="M254" s="1">
        <v>6.12</v>
      </c>
      <c r="N254" s="1">
        <v>32901</v>
      </c>
      <c r="O254" t="s">
        <v>534</v>
      </c>
      <c r="P254" t="s">
        <v>615</v>
      </c>
      <c r="Q254" t="s">
        <v>49</v>
      </c>
      <c r="R254" t="s">
        <v>50</v>
      </c>
      <c r="S254" t="s">
        <v>50</v>
      </c>
      <c r="T254" s="1">
        <v>2.70144816</v>
      </c>
      <c r="U254" s="1">
        <v>1.6234878699999999</v>
      </c>
      <c r="V254" s="1">
        <v>0.26937727272727274</v>
      </c>
      <c r="W254" s="1">
        <v>8.5315680000000005E-2</v>
      </c>
      <c r="X254" t="s">
        <v>50</v>
      </c>
      <c r="Y254" s="1">
        <v>2.1499999999999998E-2</v>
      </c>
      <c r="Z254" t="s">
        <v>50</v>
      </c>
      <c r="AA254" t="s">
        <v>50</v>
      </c>
      <c r="AB254" t="s">
        <v>50</v>
      </c>
      <c r="AC254" s="1">
        <v>0.15</v>
      </c>
      <c r="AD254" t="s">
        <v>50</v>
      </c>
      <c r="AE254" t="s">
        <v>50</v>
      </c>
      <c r="AF254" s="1">
        <v>3.7185000000000003E-2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826</v>
      </c>
      <c r="AQ254" s="1">
        <v>1777</v>
      </c>
      <c r="AR254" t="s">
        <v>51</v>
      </c>
    </row>
    <row r="255" spans="1:44">
      <c r="A255" s="1">
        <v>37384</v>
      </c>
      <c r="B255" s="1">
        <v>39736</v>
      </c>
      <c r="C255" s="1">
        <v>35154</v>
      </c>
      <c r="D255" t="s">
        <v>828</v>
      </c>
      <c r="E255" t="s">
        <v>829</v>
      </c>
      <c r="F255" t="str">
        <f>VLOOKUP(E255,Tabela2[#All],2,FALSE)</f>
        <v>PÉ DE PATO</v>
      </c>
      <c r="G255" t="s">
        <v>830</v>
      </c>
      <c r="H255" s="1">
        <v>0.33</v>
      </c>
      <c r="I255" s="1">
        <v>0.33</v>
      </c>
      <c r="J255" t="s">
        <v>46</v>
      </c>
      <c r="K255" s="1">
        <v>37.040816</v>
      </c>
      <c r="L255" s="1">
        <v>10</v>
      </c>
      <c r="M255" s="1">
        <v>9.8000000000000007</v>
      </c>
      <c r="N255" s="1">
        <v>32901</v>
      </c>
      <c r="O255" t="s">
        <v>534</v>
      </c>
      <c r="P255" t="s">
        <v>615</v>
      </c>
      <c r="Q255" t="s">
        <v>49</v>
      </c>
      <c r="R255" t="s">
        <v>50</v>
      </c>
      <c r="S255" t="s">
        <v>50</v>
      </c>
      <c r="T255" s="1">
        <v>6.89607335</v>
      </c>
      <c r="U255" s="1">
        <v>4.2827205900000003</v>
      </c>
      <c r="V255" s="1">
        <v>0</v>
      </c>
      <c r="W255" s="1">
        <v>0.39103019999999999</v>
      </c>
      <c r="X255" t="s">
        <v>50</v>
      </c>
      <c r="Y255" s="1">
        <v>2.1499999999999998E-2</v>
      </c>
      <c r="Z255" s="1">
        <v>0.1147</v>
      </c>
      <c r="AA255" s="1">
        <v>0.41089999999999999</v>
      </c>
      <c r="AB255" t="s">
        <v>50</v>
      </c>
      <c r="AC255" s="1">
        <v>0.22700000000000001</v>
      </c>
      <c r="AD255" t="s">
        <v>50</v>
      </c>
      <c r="AE255" t="s">
        <v>50</v>
      </c>
      <c r="AF255" s="1">
        <v>7.4999999999999997E-2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829</v>
      </c>
      <c r="AQ255" s="1">
        <v>1779</v>
      </c>
      <c r="AR255" t="s">
        <v>51</v>
      </c>
    </row>
    <row r="256" spans="1:44">
      <c r="A256" s="1">
        <v>31835</v>
      </c>
      <c r="B256" s="1">
        <v>35713</v>
      </c>
      <c r="C256" s="1">
        <v>31175</v>
      </c>
      <c r="D256" t="s">
        <v>831</v>
      </c>
      <c r="E256" t="s">
        <v>832</v>
      </c>
      <c r="F256" t="str">
        <f>VLOOKUP(E256,Tabela2[#All],2,FALSE)</f>
        <v>TOCO</v>
      </c>
      <c r="G256" t="s">
        <v>833</v>
      </c>
      <c r="H256" s="1">
        <v>7.22</v>
      </c>
      <c r="I256" s="1">
        <v>7.22</v>
      </c>
      <c r="J256" t="s">
        <v>46</v>
      </c>
      <c r="K256" s="1">
        <v>67.241378999999995</v>
      </c>
      <c r="L256" s="1">
        <v>2</v>
      </c>
      <c r="M256" s="1">
        <v>27.84</v>
      </c>
      <c r="N256" s="1">
        <v>32900</v>
      </c>
      <c r="O256" t="s">
        <v>47</v>
      </c>
      <c r="P256" t="s">
        <v>753</v>
      </c>
      <c r="Q256" t="s">
        <v>49</v>
      </c>
      <c r="R256" t="s">
        <v>50</v>
      </c>
      <c r="S256" s="1">
        <v>0.80800000000000005</v>
      </c>
      <c r="T256" s="1">
        <v>83.704304930000006</v>
      </c>
      <c r="U256" s="1">
        <v>52.499889830000001</v>
      </c>
      <c r="V256" s="1">
        <v>0</v>
      </c>
      <c r="W256" s="1">
        <v>8.5552668000000001</v>
      </c>
      <c r="X256" s="1">
        <v>1.4</v>
      </c>
      <c r="Y256" s="1">
        <v>0.34499999999999997</v>
      </c>
      <c r="Z256" s="1">
        <v>2.72</v>
      </c>
      <c r="AA256" s="1">
        <v>2.9500999999999999</v>
      </c>
      <c r="AB256" t="s">
        <v>50</v>
      </c>
      <c r="AC256" s="1">
        <v>2.4908000000000001</v>
      </c>
      <c r="AD256" t="s">
        <v>50</v>
      </c>
      <c r="AE256" t="s">
        <v>50</v>
      </c>
      <c r="AF256" s="1">
        <v>0.49980000000000002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832</v>
      </c>
      <c r="AQ256" s="1">
        <v>1272</v>
      </c>
      <c r="AR256" t="s">
        <v>51</v>
      </c>
    </row>
    <row r="257" spans="1:44">
      <c r="A257" s="1">
        <v>31835</v>
      </c>
      <c r="B257" s="1">
        <v>35713</v>
      </c>
      <c r="C257" s="1">
        <v>31175</v>
      </c>
      <c r="D257" t="s">
        <v>831</v>
      </c>
      <c r="E257" t="s">
        <v>832</v>
      </c>
      <c r="F257" t="str">
        <f>VLOOKUP(E257,Tabela2[#All],2,FALSE)</f>
        <v>TOCO</v>
      </c>
      <c r="G257" t="s">
        <v>833</v>
      </c>
      <c r="H257" s="1">
        <v>7.22</v>
      </c>
      <c r="I257" s="1">
        <v>7.22</v>
      </c>
      <c r="J257" t="s">
        <v>46</v>
      </c>
      <c r="K257" s="1">
        <v>67.241378999999995</v>
      </c>
      <c r="L257" s="1">
        <v>2</v>
      </c>
      <c r="M257" s="1">
        <v>27.84</v>
      </c>
      <c r="N257" s="1">
        <v>32900</v>
      </c>
      <c r="O257" t="s">
        <v>47</v>
      </c>
      <c r="P257" t="s">
        <v>730</v>
      </c>
      <c r="Q257" t="s">
        <v>49</v>
      </c>
      <c r="R257" t="s">
        <v>50</v>
      </c>
      <c r="S257" s="1">
        <v>0.80800000000000005</v>
      </c>
      <c r="T257" s="1">
        <v>83.704304930000006</v>
      </c>
      <c r="U257" s="1">
        <v>52.499889830000001</v>
      </c>
      <c r="V257" s="1">
        <v>0</v>
      </c>
      <c r="W257" s="1">
        <v>8.5552668000000001</v>
      </c>
      <c r="X257" s="1">
        <v>1.4</v>
      </c>
      <c r="Y257" s="1">
        <v>0.34499999999999997</v>
      </c>
      <c r="Z257" s="1">
        <v>2.72</v>
      </c>
      <c r="AA257" s="1">
        <v>2.9500999999999999</v>
      </c>
      <c r="AB257" t="s">
        <v>50</v>
      </c>
      <c r="AC257" s="1">
        <v>2.4908000000000001</v>
      </c>
      <c r="AD257" t="s">
        <v>50</v>
      </c>
      <c r="AE257" t="s">
        <v>50</v>
      </c>
      <c r="AF257" s="1">
        <v>0.49980000000000002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832</v>
      </c>
      <c r="AQ257" s="1">
        <v>1272</v>
      </c>
      <c r="AR257" t="s">
        <v>51</v>
      </c>
    </row>
    <row r="258" spans="1:44">
      <c r="A258" s="1">
        <v>31750</v>
      </c>
      <c r="B258" s="1">
        <v>38022</v>
      </c>
      <c r="C258" s="1">
        <v>31090</v>
      </c>
      <c r="D258" t="s">
        <v>834</v>
      </c>
      <c r="E258" t="s">
        <v>835</v>
      </c>
      <c r="F258" t="str">
        <f>VLOOKUP(E258,Tabela2[#All],2,FALSE)</f>
        <v>FLANGE TAÇA</v>
      </c>
      <c r="G258" t="s">
        <v>836</v>
      </c>
      <c r="H258" s="1">
        <v>3.31</v>
      </c>
      <c r="I258" s="1">
        <v>3.31</v>
      </c>
      <c r="J258" t="s">
        <v>46</v>
      </c>
      <c r="K258" s="1">
        <v>56.455696000000003</v>
      </c>
      <c r="L258" s="1">
        <v>2</v>
      </c>
      <c r="M258" s="1">
        <v>15.8</v>
      </c>
      <c r="N258" s="1">
        <v>32900</v>
      </c>
      <c r="O258" t="s">
        <v>47</v>
      </c>
      <c r="P258" t="s">
        <v>730</v>
      </c>
      <c r="Q258" t="s">
        <v>49</v>
      </c>
      <c r="R258" t="s">
        <v>50</v>
      </c>
      <c r="S258" t="s">
        <v>50</v>
      </c>
      <c r="T258" s="1">
        <v>49.597468169999999</v>
      </c>
      <c r="U258" s="1">
        <v>30.61473998</v>
      </c>
      <c r="V258" s="1">
        <v>0</v>
      </c>
      <c r="W258" s="1">
        <v>3.9221514000000002</v>
      </c>
      <c r="X258" t="s">
        <v>50</v>
      </c>
      <c r="Y258" s="1">
        <v>0.25</v>
      </c>
      <c r="Z258" s="1">
        <v>0.48</v>
      </c>
      <c r="AA258" s="1">
        <v>2.8189660000000001</v>
      </c>
      <c r="AB258" t="s">
        <v>50</v>
      </c>
      <c r="AC258" s="1">
        <v>1.0344</v>
      </c>
      <c r="AD258" t="s">
        <v>50</v>
      </c>
      <c r="AE258" t="s">
        <v>50</v>
      </c>
      <c r="AF258" s="1">
        <v>0.39900000000000002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835</v>
      </c>
      <c r="AQ258" s="1">
        <v>1276</v>
      </c>
      <c r="AR258" t="s">
        <v>51</v>
      </c>
    </row>
    <row r="259" spans="1:44">
      <c r="A259" s="1">
        <v>31750</v>
      </c>
      <c r="B259" s="1">
        <v>38022</v>
      </c>
      <c r="C259" s="1">
        <v>31090</v>
      </c>
      <c r="D259" t="s">
        <v>834</v>
      </c>
      <c r="E259" t="s">
        <v>835</v>
      </c>
      <c r="F259" t="str">
        <f>VLOOKUP(E259,Tabela2[#All],2,FALSE)</f>
        <v>FLANGE TAÇA</v>
      </c>
      <c r="G259" t="s">
        <v>836</v>
      </c>
      <c r="H259" s="1">
        <v>3.31</v>
      </c>
      <c r="I259" s="1">
        <v>3.31</v>
      </c>
      <c r="J259" t="s">
        <v>46</v>
      </c>
      <c r="K259" s="1">
        <v>56.455696000000003</v>
      </c>
      <c r="L259" s="1">
        <v>2</v>
      </c>
      <c r="M259" s="1">
        <v>15.8</v>
      </c>
      <c r="N259" s="1">
        <v>32900</v>
      </c>
      <c r="O259" t="s">
        <v>47</v>
      </c>
      <c r="P259" t="s">
        <v>753</v>
      </c>
      <c r="Q259" t="s">
        <v>49</v>
      </c>
      <c r="R259" t="s">
        <v>50</v>
      </c>
      <c r="S259" t="s">
        <v>50</v>
      </c>
      <c r="T259" s="1">
        <v>49.597468169999999</v>
      </c>
      <c r="U259" s="1">
        <v>30.61473998</v>
      </c>
      <c r="V259" s="1">
        <v>0</v>
      </c>
      <c r="W259" s="1">
        <v>3.9221514000000002</v>
      </c>
      <c r="X259" t="s">
        <v>50</v>
      </c>
      <c r="Y259" s="1">
        <v>0.25</v>
      </c>
      <c r="Z259" s="1">
        <v>0.48</v>
      </c>
      <c r="AA259" s="1">
        <v>2.8189660000000001</v>
      </c>
      <c r="AB259" t="s">
        <v>50</v>
      </c>
      <c r="AC259" s="1">
        <v>1.0344</v>
      </c>
      <c r="AD259" t="s">
        <v>50</v>
      </c>
      <c r="AE259" t="s">
        <v>50</v>
      </c>
      <c r="AF259" s="1">
        <v>0.39900000000000002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835</v>
      </c>
      <c r="AQ259" s="1">
        <v>1276</v>
      </c>
      <c r="AR259" t="s">
        <v>51</v>
      </c>
    </row>
    <row r="260" spans="1:44">
      <c r="A260" s="1">
        <v>31933</v>
      </c>
      <c r="B260" s="1">
        <v>38734</v>
      </c>
      <c r="C260" s="1">
        <v>31259</v>
      </c>
      <c r="D260" t="s">
        <v>837</v>
      </c>
      <c r="E260" t="s">
        <v>838</v>
      </c>
      <c r="F260" t="str">
        <f>VLOOKUP(E260,Tabela2[#All],2,FALSE)</f>
        <v>GANSO</v>
      </c>
      <c r="G260" t="s">
        <v>839</v>
      </c>
      <c r="H260" s="1">
        <v>1.4</v>
      </c>
      <c r="I260" s="1">
        <v>1.4</v>
      </c>
      <c r="J260" t="s">
        <v>46</v>
      </c>
      <c r="K260" s="1">
        <v>50.538525</v>
      </c>
      <c r="L260" s="1">
        <v>4</v>
      </c>
      <c r="M260" s="1">
        <v>12.07</v>
      </c>
      <c r="N260" s="1">
        <v>32900</v>
      </c>
      <c r="O260" t="s">
        <v>47</v>
      </c>
      <c r="P260" t="s">
        <v>730</v>
      </c>
      <c r="Q260" t="s">
        <v>49</v>
      </c>
      <c r="R260" t="s">
        <v>50</v>
      </c>
      <c r="S260" t="s">
        <v>50</v>
      </c>
      <c r="T260" s="1">
        <v>23.912731539999999</v>
      </c>
      <c r="U260" s="1">
        <v>13.397232170000001</v>
      </c>
      <c r="V260" s="1">
        <v>0</v>
      </c>
      <c r="W260" s="1">
        <v>1.6589160000000001</v>
      </c>
      <c r="X260" t="s">
        <v>50</v>
      </c>
      <c r="Y260" s="1">
        <v>0.08</v>
      </c>
      <c r="Z260" s="1">
        <v>1.1228</v>
      </c>
      <c r="AA260" s="1">
        <v>0.70309999999999995</v>
      </c>
      <c r="AB260" t="s">
        <v>50</v>
      </c>
      <c r="AC260" s="1">
        <v>0.52159999999999995</v>
      </c>
      <c r="AD260" t="s">
        <v>50</v>
      </c>
      <c r="AE260" t="s">
        <v>50</v>
      </c>
      <c r="AF260" s="1">
        <v>0.2046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838</v>
      </c>
      <c r="AQ260" s="1">
        <v>1278</v>
      </c>
      <c r="AR260" t="s">
        <v>51</v>
      </c>
    </row>
    <row r="261" spans="1:44">
      <c r="A261" s="1">
        <v>31933</v>
      </c>
      <c r="B261" s="1">
        <v>38734</v>
      </c>
      <c r="C261" s="1">
        <v>31259</v>
      </c>
      <c r="D261" t="s">
        <v>837</v>
      </c>
      <c r="E261" t="s">
        <v>838</v>
      </c>
      <c r="F261" t="str">
        <f>VLOOKUP(E261,Tabela2[#All],2,FALSE)</f>
        <v>GANSO</v>
      </c>
      <c r="G261" t="s">
        <v>840</v>
      </c>
      <c r="H261" s="1">
        <v>1.4</v>
      </c>
      <c r="I261" s="1">
        <v>1.4</v>
      </c>
      <c r="J261" t="s">
        <v>46</v>
      </c>
      <c r="K261" s="1">
        <v>44.28848</v>
      </c>
      <c r="L261" s="1">
        <v>3</v>
      </c>
      <c r="M261" s="1">
        <v>10.33</v>
      </c>
      <c r="N261" s="1">
        <v>32900</v>
      </c>
      <c r="O261" t="s">
        <v>47</v>
      </c>
      <c r="P261" t="s">
        <v>730</v>
      </c>
      <c r="Q261" t="s">
        <v>49</v>
      </c>
      <c r="R261" t="s">
        <v>50</v>
      </c>
      <c r="S261" t="s">
        <v>50</v>
      </c>
      <c r="T261" s="1">
        <v>23.912731539999999</v>
      </c>
      <c r="U261" s="1">
        <v>13.397232170000001</v>
      </c>
      <c r="V261" s="1">
        <v>0</v>
      </c>
      <c r="W261" s="1">
        <v>1.6589160000000001</v>
      </c>
      <c r="X261" t="s">
        <v>50</v>
      </c>
      <c r="Y261" s="1">
        <v>0.08</v>
      </c>
      <c r="Z261" s="1">
        <v>1.1228</v>
      </c>
      <c r="AA261" s="1">
        <v>0.70309999999999995</v>
      </c>
      <c r="AB261" t="s">
        <v>50</v>
      </c>
      <c r="AC261" s="1">
        <v>0.52159999999999995</v>
      </c>
      <c r="AD261" t="s">
        <v>50</v>
      </c>
      <c r="AE261" t="s">
        <v>50</v>
      </c>
      <c r="AF261" s="1">
        <v>0.2046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838</v>
      </c>
      <c r="AQ261" s="1">
        <v>1279</v>
      </c>
      <c r="AR261" t="s">
        <v>399</v>
      </c>
    </row>
    <row r="262" spans="1:44">
      <c r="A262" s="1">
        <v>31933</v>
      </c>
      <c r="B262" s="1">
        <v>38734</v>
      </c>
      <c r="C262" s="1">
        <v>31259</v>
      </c>
      <c r="D262" t="s">
        <v>837</v>
      </c>
      <c r="E262" t="s">
        <v>838</v>
      </c>
      <c r="F262" t="str">
        <f>VLOOKUP(E262,Tabela2[#All],2,FALSE)</f>
        <v>GANSO</v>
      </c>
      <c r="G262" t="s">
        <v>840</v>
      </c>
      <c r="H262" s="1">
        <v>1.4</v>
      </c>
      <c r="I262" s="1">
        <v>1.4</v>
      </c>
      <c r="J262" t="s">
        <v>46</v>
      </c>
      <c r="K262" s="1">
        <v>44.28848</v>
      </c>
      <c r="L262" s="1">
        <v>3</v>
      </c>
      <c r="M262" s="1">
        <v>10.33</v>
      </c>
      <c r="N262" s="1">
        <v>32900</v>
      </c>
      <c r="O262" t="s">
        <v>47</v>
      </c>
      <c r="P262" t="s">
        <v>753</v>
      </c>
      <c r="Q262" t="s">
        <v>49</v>
      </c>
      <c r="R262" t="s">
        <v>50</v>
      </c>
      <c r="S262" t="s">
        <v>50</v>
      </c>
      <c r="T262" s="1">
        <v>23.912731539999999</v>
      </c>
      <c r="U262" s="1">
        <v>13.397232170000001</v>
      </c>
      <c r="V262" s="1">
        <v>0</v>
      </c>
      <c r="W262" s="1">
        <v>1.6589160000000001</v>
      </c>
      <c r="X262" t="s">
        <v>50</v>
      </c>
      <c r="Y262" s="1">
        <v>0.08</v>
      </c>
      <c r="Z262" s="1">
        <v>1.1228</v>
      </c>
      <c r="AA262" s="1">
        <v>0.70309999999999995</v>
      </c>
      <c r="AB262" t="s">
        <v>50</v>
      </c>
      <c r="AC262" s="1">
        <v>0.52159999999999995</v>
      </c>
      <c r="AD262" t="s">
        <v>50</v>
      </c>
      <c r="AE262" t="s">
        <v>50</v>
      </c>
      <c r="AF262" s="1">
        <v>0.2046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838</v>
      </c>
      <c r="AQ262" s="1">
        <v>1279</v>
      </c>
      <c r="AR262" t="s">
        <v>399</v>
      </c>
    </row>
    <row r="263" spans="1:44">
      <c r="A263" s="1">
        <v>31933</v>
      </c>
      <c r="B263" s="1">
        <v>38734</v>
      </c>
      <c r="C263" s="1">
        <v>31259</v>
      </c>
      <c r="D263" t="s">
        <v>837</v>
      </c>
      <c r="E263" t="s">
        <v>838</v>
      </c>
      <c r="F263" t="str">
        <f>VLOOKUP(E263,Tabela2[#All],2,FALSE)</f>
        <v>GANSO</v>
      </c>
      <c r="G263" t="s">
        <v>839</v>
      </c>
      <c r="H263" s="1">
        <v>1.4</v>
      </c>
      <c r="I263" s="1">
        <v>1.4</v>
      </c>
      <c r="J263" t="s">
        <v>46</v>
      </c>
      <c r="K263" s="1">
        <v>50.538525</v>
      </c>
      <c r="L263" s="1">
        <v>4</v>
      </c>
      <c r="M263" s="1">
        <v>12.07</v>
      </c>
      <c r="N263" s="1">
        <v>32900</v>
      </c>
      <c r="O263" t="s">
        <v>47</v>
      </c>
      <c r="P263" t="s">
        <v>753</v>
      </c>
      <c r="Q263" t="s">
        <v>49</v>
      </c>
      <c r="R263" t="s">
        <v>50</v>
      </c>
      <c r="S263" t="s">
        <v>50</v>
      </c>
      <c r="T263" s="1">
        <v>23.912731539999999</v>
      </c>
      <c r="U263" s="1">
        <v>13.397232170000001</v>
      </c>
      <c r="V263" s="1">
        <v>0</v>
      </c>
      <c r="W263" s="1">
        <v>1.6589160000000001</v>
      </c>
      <c r="X263" t="s">
        <v>50</v>
      </c>
      <c r="Y263" s="1">
        <v>0.08</v>
      </c>
      <c r="Z263" s="1">
        <v>1.1228</v>
      </c>
      <c r="AA263" s="1">
        <v>0.70309999999999995</v>
      </c>
      <c r="AB263" t="s">
        <v>50</v>
      </c>
      <c r="AC263" s="1">
        <v>0.52159999999999995</v>
      </c>
      <c r="AD263" t="s">
        <v>50</v>
      </c>
      <c r="AE263" t="s">
        <v>50</v>
      </c>
      <c r="AF263" s="1">
        <v>0.2046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838</v>
      </c>
      <c r="AQ263" s="1">
        <v>1278</v>
      </c>
      <c r="AR263" t="s">
        <v>51</v>
      </c>
    </row>
    <row r="264" spans="1:44">
      <c r="A264" s="1">
        <v>33034</v>
      </c>
      <c r="B264" s="1">
        <v>38348</v>
      </c>
      <c r="C264" s="1">
        <v>32375</v>
      </c>
      <c r="D264" t="s">
        <v>841</v>
      </c>
      <c r="E264" t="s">
        <v>842</v>
      </c>
      <c r="F264" t="str">
        <f>VLOOKUP(E264,Tabela2[#All],2,FALSE)</f>
        <v>TAÇA</v>
      </c>
      <c r="G264" t="s">
        <v>843</v>
      </c>
      <c r="H264" s="1">
        <v>6.75</v>
      </c>
      <c r="I264" s="1">
        <v>6.75</v>
      </c>
      <c r="J264" t="s">
        <v>46</v>
      </c>
      <c r="K264" s="1">
        <v>52.876376999999998</v>
      </c>
      <c r="L264" s="1">
        <v>1</v>
      </c>
      <c r="M264" s="1">
        <v>16.34</v>
      </c>
      <c r="N264" s="1">
        <v>32900</v>
      </c>
      <c r="O264" t="s">
        <v>47</v>
      </c>
      <c r="P264" t="s">
        <v>730</v>
      </c>
      <c r="Q264" t="s">
        <v>49</v>
      </c>
      <c r="R264" t="s">
        <v>50</v>
      </c>
      <c r="S264" s="1">
        <v>2.4449999999999998</v>
      </c>
      <c r="T264" s="1">
        <v>105.03120085</v>
      </c>
      <c r="U264" s="1">
        <v>59.581319129999997</v>
      </c>
      <c r="V264" s="1">
        <v>0</v>
      </c>
      <c r="W264" s="1">
        <v>7.9983449999999996</v>
      </c>
      <c r="X264" t="s">
        <v>50</v>
      </c>
      <c r="Y264" s="1">
        <v>0.61660000000000004</v>
      </c>
      <c r="Z264" s="1">
        <v>0.6</v>
      </c>
      <c r="AA264" s="1">
        <v>7.8019999999999996</v>
      </c>
      <c r="AB264" t="s">
        <v>50</v>
      </c>
      <c r="AC264" s="1">
        <v>2.2799999999999998</v>
      </c>
      <c r="AD264" t="s">
        <v>50</v>
      </c>
      <c r="AE264" t="s">
        <v>50</v>
      </c>
      <c r="AF264" s="1">
        <v>0.81810000000000005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842</v>
      </c>
      <c r="AQ264" s="1">
        <v>1793</v>
      </c>
      <c r="AR264" t="s">
        <v>51</v>
      </c>
    </row>
    <row r="265" spans="1:44">
      <c r="A265" s="1">
        <v>33034</v>
      </c>
      <c r="B265" s="1">
        <v>38348</v>
      </c>
      <c r="C265" s="1">
        <v>32375</v>
      </c>
      <c r="D265" t="s">
        <v>841</v>
      </c>
      <c r="E265" t="s">
        <v>842</v>
      </c>
      <c r="F265" t="str">
        <f>VLOOKUP(E265,Tabela2[#All],2,FALSE)</f>
        <v>TAÇA</v>
      </c>
      <c r="G265" t="s">
        <v>843</v>
      </c>
      <c r="H265" s="1">
        <v>6.75</v>
      </c>
      <c r="I265" s="1">
        <v>6.75</v>
      </c>
      <c r="J265" t="s">
        <v>46</v>
      </c>
      <c r="K265" s="1">
        <v>52.876376999999998</v>
      </c>
      <c r="L265" s="1">
        <v>1</v>
      </c>
      <c r="M265" s="1">
        <v>16.34</v>
      </c>
      <c r="N265" s="1">
        <v>32900</v>
      </c>
      <c r="O265" t="s">
        <v>47</v>
      </c>
      <c r="P265" t="s">
        <v>753</v>
      </c>
      <c r="Q265" t="s">
        <v>49</v>
      </c>
      <c r="R265" t="s">
        <v>50</v>
      </c>
      <c r="S265" s="1">
        <v>2.4449999999999998</v>
      </c>
      <c r="T265" s="1">
        <v>105.03120085</v>
      </c>
      <c r="U265" s="1">
        <v>59.581319129999997</v>
      </c>
      <c r="V265" s="1">
        <v>0</v>
      </c>
      <c r="W265" s="1">
        <v>7.9983449999999996</v>
      </c>
      <c r="X265" t="s">
        <v>50</v>
      </c>
      <c r="Y265" s="1">
        <v>0.61660000000000004</v>
      </c>
      <c r="Z265" s="1">
        <v>0.6</v>
      </c>
      <c r="AA265" s="1">
        <v>7.8019999999999996</v>
      </c>
      <c r="AB265" t="s">
        <v>50</v>
      </c>
      <c r="AC265" s="1">
        <v>2.2799999999999998</v>
      </c>
      <c r="AD265" t="s">
        <v>50</v>
      </c>
      <c r="AE265" t="s">
        <v>50</v>
      </c>
      <c r="AF265" s="1">
        <v>0.81810000000000005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842</v>
      </c>
      <c r="AQ265" s="1">
        <v>1793</v>
      </c>
      <c r="AR265" t="s">
        <v>51</v>
      </c>
    </row>
    <row r="266" spans="1:44">
      <c r="A266" s="1">
        <v>31915</v>
      </c>
      <c r="B266" s="1">
        <v>35714</v>
      </c>
      <c r="C266" s="1">
        <v>31241</v>
      </c>
      <c r="D266" t="s">
        <v>844</v>
      </c>
      <c r="E266" t="s">
        <v>845</v>
      </c>
      <c r="F266" t="str">
        <f>VLOOKUP(E266,Tabela2[#All],2,FALSE)</f>
        <v>REVOLVER</v>
      </c>
      <c r="G266" t="s">
        <v>846</v>
      </c>
      <c r="H266" s="1">
        <v>2.68</v>
      </c>
      <c r="I266" s="1">
        <v>2.68</v>
      </c>
      <c r="J266" t="s">
        <v>46</v>
      </c>
      <c r="K266" s="1">
        <v>58.444619000000003</v>
      </c>
      <c r="L266" s="1">
        <v>2</v>
      </c>
      <c r="M266" s="1">
        <v>12.73</v>
      </c>
      <c r="N266" s="1">
        <v>32900</v>
      </c>
      <c r="O266" t="s">
        <v>47</v>
      </c>
      <c r="P266" t="s">
        <v>730</v>
      </c>
      <c r="Q266" t="s">
        <v>49</v>
      </c>
      <c r="R266" t="s">
        <v>50</v>
      </c>
      <c r="S266" s="1">
        <v>0.81899999999999995</v>
      </c>
      <c r="T266" s="1">
        <v>38.441907200000003</v>
      </c>
      <c r="U266" s="1">
        <v>25.3927057</v>
      </c>
      <c r="V266" s="1">
        <v>0</v>
      </c>
      <c r="W266" s="1">
        <v>3.1756392</v>
      </c>
      <c r="X266" t="s">
        <v>50</v>
      </c>
      <c r="Y266" s="1">
        <v>0.12</v>
      </c>
      <c r="Z266" t="s">
        <v>50</v>
      </c>
      <c r="AA266" s="1">
        <v>2.2446999999999999</v>
      </c>
      <c r="AB266" t="s">
        <v>50</v>
      </c>
      <c r="AC266" s="1">
        <v>0.62549999999999994</v>
      </c>
      <c r="AD266" t="s">
        <v>50</v>
      </c>
      <c r="AE266" t="s">
        <v>50</v>
      </c>
      <c r="AF266" s="1">
        <v>0.40500000000000003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845</v>
      </c>
      <c r="AQ266" s="1">
        <v>1795</v>
      </c>
      <c r="AR266" t="s">
        <v>51</v>
      </c>
    </row>
    <row r="267" spans="1:44">
      <c r="A267" s="1">
        <v>33054</v>
      </c>
      <c r="B267" s="1">
        <v>38511</v>
      </c>
      <c r="C267" s="1">
        <v>32395</v>
      </c>
      <c r="D267" t="s">
        <v>847</v>
      </c>
      <c r="E267" t="s">
        <v>848</v>
      </c>
      <c r="F267" t="str">
        <f>VLOOKUP(E267,Tabela2[#All],2,FALSE)</f>
        <v>GANSO</v>
      </c>
      <c r="G267" t="s">
        <v>849</v>
      </c>
      <c r="H267" s="1">
        <v>2.77</v>
      </c>
      <c r="I267" s="1">
        <v>2.77</v>
      </c>
      <c r="J267" t="s">
        <v>46</v>
      </c>
      <c r="K267" s="1">
        <v>60.204082</v>
      </c>
      <c r="L267" s="1">
        <v>2</v>
      </c>
      <c r="M267" s="1">
        <v>11.76</v>
      </c>
      <c r="N267" s="1">
        <v>32900</v>
      </c>
      <c r="O267" t="s">
        <v>47</v>
      </c>
      <c r="P267" t="s">
        <v>753</v>
      </c>
      <c r="Q267" t="s">
        <v>49</v>
      </c>
      <c r="R267" t="s">
        <v>50</v>
      </c>
      <c r="S267" s="1">
        <v>0.745</v>
      </c>
      <c r="T267" s="1">
        <v>43.829303299999999</v>
      </c>
      <c r="U267" s="1">
        <v>23.90500209</v>
      </c>
      <c r="V267" s="1">
        <v>0</v>
      </c>
      <c r="W267" s="1">
        <v>3.2822838000000001</v>
      </c>
      <c r="X267" s="1">
        <v>0.21579999999999999</v>
      </c>
      <c r="Y267" s="1">
        <v>0.1195</v>
      </c>
      <c r="Z267" s="1">
        <v>1.2077</v>
      </c>
      <c r="AA267" s="1">
        <v>1.923</v>
      </c>
      <c r="AB267" t="s">
        <v>50</v>
      </c>
      <c r="AC267" s="1">
        <v>0.48480000000000001</v>
      </c>
      <c r="AD267" t="s">
        <v>50</v>
      </c>
      <c r="AE267" t="s">
        <v>50</v>
      </c>
      <c r="AF267" s="1">
        <v>0.40920000000000001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848</v>
      </c>
      <c r="AQ267" s="1">
        <v>1796</v>
      </c>
      <c r="AR267" t="s">
        <v>51</v>
      </c>
    </row>
    <row r="268" spans="1:44">
      <c r="A268" s="1">
        <v>33054</v>
      </c>
      <c r="B268" s="1">
        <v>38511</v>
      </c>
      <c r="C268" s="1">
        <v>32395</v>
      </c>
      <c r="D268" t="s">
        <v>847</v>
      </c>
      <c r="E268" t="s">
        <v>848</v>
      </c>
      <c r="F268" t="str">
        <f>VLOOKUP(E268,Tabela2[#All],2,FALSE)</f>
        <v>GANSO</v>
      </c>
      <c r="G268" t="s">
        <v>849</v>
      </c>
      <c r="H268" s="1">
        <v>2.77</v>
      </c>
      <c r="I268" s="1">
        <v>2.77</v>
      </c>
      <c r="J268" t="s">
        <v>46</v>
      </c>
      <c r="K268" s="1">
        <v>60.204082</v>
      </c>
      <c r="L268" s="1">
        <v>2</v>
      </c>
      <c r="M268" s="1">
        <v>11.76</v>
      </c>
      <c r="N268" s="1">
        <v>32900</v>
      </c>
      <c r="O268" t="s">
        <v>47</v>
      </c>
      <c r="P268" t="s">
        <v>730</v>
      </c>
      <c r="Q268" t="s">
        <v>49</v>
      </c>
      <c r="R268" t="s">
        <v>50</v>
      </c>
      <c r="S268" s="1">
        <v>0.745</v>
      </c>
      <c r="T268" s="1">
        <v>43.829303299999999</v>
      </c>
      <c r="U268" s="1">
        <v>23.90500209</v>
      </c>
      <c r="V268" s="1">
        <v>0</v>
      </c>
      <c r="W268" s="1">
        <v>3.2822838000000001</v>
      </c>
      <c r="X268" s="1">
        <v>0.21579999999999999</v>
      </c>
      <c r="Y268" s="1">
        <v>0.1195</v>
      </c>
      <c r="Z268" s="1">
        <v>1.2077</v>
      </c>
      <c r="AA268" s="1">
        <v>1.923</v>
      </c>
      <c r="AB268" t="s">
        <v>50</v>
      </c>
      <c r="AC268" s="1">
        <v>0.48480000000000001</v>
      </c>
      <c r="AD268" t="s">
        <v>50</v>
      </c>
      <c r="AE268" t="s">
        <v>50</v>
      </c>
      <c r="AF268" s="1">
        <v>0.40920000000000001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848</v>
      </c>
      <c r="AQ268" s="1">
        <v>1796</v>
      </c>
      <c r="AR268" t="s">
        <v>51</v>
      </c>
    </row>
    <row r="269" spans="1:44">
      <c r="A269" s="1">
        <v>31837</v>
      </c>
      <c r="B269" s="1">
        <v>35735</v>
      </c>
      <c r="C269" s="1">
        <v>31177</v>
      </c>
      <c r="D269" t="s">
        <v>850</v>
      </c>
      <c r="E269" t="s">
        <v>851</v>
      </c>
      <c r="F269" t="str">
        <f>VLOOKUP(E269,Tabela2[#All],2,FALSE)</f>
        <v>TOCO</v>
      </c>
      <c r="G269" t="s">
        <v>852</v>
      </c>
      <c r="H269" s="1">
        <v>7.15</v>
      </c>
      <c r="I269" s="1">
        <v>7.15</v>
      </c>
      <c r="J269" t="s">
        <v>46</v>
      </c>
      <c r="K269" s="1">
        <v>67.241378999999995</v>
      </c>
      <c r="L269" s="1">
        <v>2</v>
      </c>
      <c r="M269" s="1">
        <v>27.84</v>
      </c>
      <c r="N269" s="1">
        <v>32900</v>
      </c>
      <c r="O269" t="s">
        <v>47</v>
      </c>
      <c r="P269" t="s">
        <v>730</v>
      </c>
      <c r="Q269" t="s">
        <v>49</v>
      </c>
      <c r="R269" t="s">
        <v>50</v>
      </c>
      <c r="S269" s="1">
        <v>0.80800000000000005</v>
      </c>
      <c r="T269" s="1">
        <v>82.182262629999997</v>
      </c>
      <c r="U269" s="1">
        <v>56.008852230000002</v>
      </c>
      <c r="V269" s="1">
        <v>0</v>
      </c>
      <c r="W269" s="1">
        <v>8.4723210000000009</v>
      </c>
      <c r="X269" t="s">
        <v>50</v>
      </c>
      <c r="Y269" s="1">
        <v>0.34499999999999997</v>
      </c>
      <c r="Z269" s="1">
        <v>2</v>
      </c>
      <c r="AA269" s="1">
        <v>2.3113999999999999</v>
      </c>
      <c r="AB269" t="s">
        <v>50</v>
      </c>
      <c r="AC269" s="1">
        <v>1.0908</v>
      </c>
      <c r="AD269" t="s">
        <v>50</v>
      </c>
      <c r="AE269" t="s">
        <v>50</v>
      </c>
      <c r="AF269" s="1">
        <v>0.50009999999999999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853</v>
      </c>
      <c r="AQ269" s="1">
        <v>9308</v>
      </c>
      <c r="AR269" t="s">
        <v>51</v>
      </c>
    </row>
    <row r="270" spans="1:44">
      <c r="A270" s="1">
        <v>31913</v>
      </c>
      <c r="B270" s="1">
        <v>38562</v>
      </c>
      <c r="C270" s="1">
        <v>31239</v>
      </c>
      <c r="D270" t="s">
        <v>854</v>
      </c>
      <c r="E270" t="s">
        <v>855</v>
      </c>
      <c r="F270" t="str">
        <f>VLOOKUP(E270,Tabela2[#All],2,FALSE)</f>
        <v>REVOLVER</v>
      </c>
      <c r="G270" t="s">
        <v>856</v>
      </c>
      <c r="H270" s="1">
        <v>4.1100000000000003</v>
      </c>
      <c r="I270" s="1">
        <v>4.1100000000000003</v>
      </c>
      <c r="J270" t="s">
        <v>46</v>
      </c>
      <c r="K270" s="1">
        <v>66.505148000000005</v>
      </c>
      <c r="L270" s="1">
        <v>2</v>
      </c>
      <c r="M270" s="1">
        <v>16.510000000000002</v>
      </c>
      <c r="N270" s="1">
        <v>32900</v>
      </c>
      <c r="O270" t="s">
        <v>47</v>
      </c>
      <c r="P270" t="s">
        <v>730</v>
      </c>
      <c r="Q270" t="s">
        <v>49</v>
      </c>
      <c r="R270" t="s">
        <v>50</v>
      </c>
      <c r="S270" s="1">
        <v>1.641</v>
      </c>
      <c r="T270" s="1">
        <v>54.839637000000003</v>
      </c>
      <c r="U270" s="1">
        <v>31.5999491</v>
      </c>
      <c r="V270" s="1">
        <v>0</v>
      </c>
      <c r="W270" s="1">
        <v>4.8701033999999996</v>
      </c>
      <c r="X270" t="s">
        <v>50</v>
      </c>
      <c r="Y270" s="1">
        <v>0.3332</v>
      </c>
      <c r="Z270" t="s">
        <v>50</v>
      </c>
      <c r="AA270" s="1">
        <v>3.2033999999999998</v>
      </c>
      <c r="AB270" t="s">
        <v>50</v>
      </c>
      <c r="AC270" s="1">
        <v>1.7776000000000001</v>
      </c>
      <c r="AD270" t="s">
        <v>50</v>
      </c>
      <c r="AE270" t="s">
        <v>50</v>
      </c>
      <c r="AF270" s="1">
        <v>0.40920000000000001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855</v>
      </c>
      <c r="AQ270" s="1">
        <v>1800</v>
      </c>
      <c r="AR270" t="s">
        <v>51</v>
      </c>
    </row>
    <row r="271" spans="1:44">
      <c r="A271" s="1">
        <v>31913</v>
      </c>
      <c r="B271" s="1">
        <v>38562</v>
      </c>
      <c r="C271" s="1">
        <v>31239</v>
      </c>
      <c r="D271" t="s">
        <v>854</v>
      </c>
      <c r="E271" t="s">
        <v>855</v>
      </c>
      <c r="F271" t="str">
        <f>VLOOKUP(E271,Tabela2[#All],2,FALSE)</f>
        <v>REVOLVER</v>
      </c>
      <c r="G271" t="s">
        <v>856</v>
      </c>
      <c r="H271" s="1">
        <v>4.1100000000000003</v>
      </c>
      <c r="I271" s="1">
        <v>4.1100000000000003</v>
      </c>
      <c r="J271" t="s">
        <v>46</v>
      </c>
      <c r="K271" s="1">
        <v>66.505148000000005</v>
      </c>
      <c r="L271" s="1">
        <v>2</v>
      </c>
      <c r="M271" s="1">
        <v>16.510000000000002</v>
      </c>
      <c r="N271" s="1">
        <v>32900</v>
      </c>
      <c r="O271" t="s">
        <v>47</v>
      </c>
      <c r="P271" t="s">
        <v>753</v>
      </c>
      <c r="Q271" t="s">
        <v>49</v>
      </c>
      <c r="R271" t="s">
        <v>50</v>
      </c>
      <c r="S271" s="1">
        <v>1.641</v>
      </c>
      <c r="T271" s="1">
        <v>54.839637000000003</v>
      </c>
      <c r="U271" s="1">
        <v>31.5999491</v>
      </c>
      <c r="V271" s="1">
        <v>0</v>
      </c>
      <c r="W271" s="1">
        <v>4.8701033999999996</v>
      </c>
      <c r="X271" t="s">
        <v>50</v>
      </c>
      <c r="Y271" s="1">
        <v>0.3332</v>
      </c>
      <c r="Z271" t="s">
        <v>50</v>
      </c>
      <c r="AA271" s="1">
        <v>3.2033999999999998</v>
      </c>
      <c r="AB271" t="s">
        <v>50</v>
      </c>
      <c r="AC271" s="1">
        <v>1.7776000000000001</v>
      </c>
      <c r="AD271" t="s">
        <v>50</v>
      </c>
      <c r="AE271" t="s">
        <v>50</v>
      </c>
      <c r="AF271" s="1">
        <v>0.40920000000000001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855</v>
      </c>
      <c r="AQ271" s="1">
        <v>1800</v>
      </c>
      <c r="AR271" t="s">
        <v>51</v>
      </c>
    </row>
    <row r="272" spans="1:44">
      <c r="A272" s="1">
        <v>31764</v>
      </c>
      <c r="B272" s="1">
        <v>35667</v>
      </c>
      <c r="C272" s="1">
        <v>31104</v>
      </c>
      <c r="D272" t="s">
        <v>857</v>
      </c>
      <c r="E272" t="s">
        <v>858</v>
      </c>
      <c r="F272" t="str">
        <f>VLOOKUP(E272,Tabela2[#All],2,FALSE)</f>
        <v>FLANGE TAÇA</v>
      </c>
      <c r="G272" t="s">
        <v>859</v>
      </c>
      <c r="H272" s="1">
        <v>6.11</v>
      </c>
      <c r="I272" s="1">
        <v>6.11</v>
      </c>
      <c r="J272" t="s">
        <v>46</v>
      </c>
      <c r="K272" s="1">
        <v>54.103966999999997</v>
      </c>
      <c r="L272" s="1">
        <v>1</v>
      </c>
      <c r="M272" s="1">
        <v>14.62</v>
      </c>
      <c r="N272" s="1">
        <v>32900</v>
      </c>
      <c r="O272" t="s">
        <v>47</v>
      </c>
      <c r="P272" t="s">
        <v>753</v>
      </c>
      <c r="Q272" t="s">
        <v>49</v>
      </c>
      <c r="R272" t="s">
        <v>50</v>
      </c>
      <c r="S272" t="s">
        <v>50</v>
      </c>
      <c r="T272" s="1">
        <v>89.809556709999995</v>
      </c>
      <c r="U272" s="1">
        <v>57.077028689999999</v>
      </c>
      <c r="V272" s="1">
        <v>0</v>
      </c>
      <c r="W272" s="1">
        <v>7.2399833999999998</v>
      </c>
      <c r="X272" t="s">
        <v>50</v>
      </c>
      <c r="Y272" s="1">
        <v>0.28999999999999998</v>
      </c>
      <c r="Z272" s="1">
        <v>0.5</v>
      </c>
      <c r="AA272" s="1">
        <v>5.9538000000000002</v>
      </c>
      <c r="AB272" t="s">
        <v>50</v>
      </c>
      <c r="AC272" s="1">
        <v>1.0908</v>
      </c>
      <c r="AD272" t="s">
        <v>50</v>
      </c>
      <c r="AE272" t="s">
        <v>50</v>
      </c>
      <c r="AF272" s="1">
        <v>0.75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858</v>
      </c>
      <c r="AQ272" s="1">
        <v>1280</v>
      </c>
      <c r="AR272" t="s">
        <v>51</v>
      </c>
    </row>
    <row r="273" spans="1:44">
      <c r="A273" s="1">
        <v>31764</v>
      </c>
      <c r="B273" s="1">
        <v>35667</v>
      </c>
      <c r="C273" s="1">
        <v>31104</v>
      </c>
      <c r="D273" t="s">
        <v>857</v>
      </c>
      <c r="E273" t="s">
        <v>858</v>
      </c>
      <c r="F273" t="str">
        <f>VLOOKUP(E273,Tabela2[#All],2,FALSE)</f>
        <v>FLANGE TAÇA</v>
      </c>
      <c r="G273" t="s">
        <v>859</v>
      </c>
      <c r="H273" s="1">
        <v>6.11</v>
      </c>
      <c r="I273" s="1">
        <v>6.11</v>
      </c>
      <c r="J273" t="s">
        <v>46</v>
      </c>
      <c r="K273" s="1">
        <v>54.103966999999997</v>
      </c>
      <c r="L273" s="1">
        <v>1</v>
      </c>
      <c r="M273" s="1">
        <v>14.62</v>
      </c>
      <c r="N273" s="1">
        <v>32900</v>
      </c>
      <c r="O273" t="s">
        <v>47</v>
      </c>
      <c r="P273" t="s">
        <v>730</v>
      </c>
      <c r="Q273" t="s">
        <v>49</v>
      </c>
      <c r="R273" t="s">
        <v>50</v>
      </c>
      <c r="S273" t="s">
        <v>50</v>
      </c>
      <c r="T273" s="1">
        <v>89.809556709999995</v>
      </c>
      <c r="U273" s="1">
        <v>57.077028689999999</v>
      </c>
      <c r="V273" s="1">
        <v>0</v>
      </c>
      <c r="W273" s="1">
        <v>7.2399833999999998</v>
      </c>
      <c r="X273" t="s">
        <v>50</v>
      </c>
      <c r="Y273" s="1">
        <v>0.28999999999999998</v>
      </c>
      <c r="Z273" s="1">
        <v>0.5</v>
      </c>
      <c r="AA273" s="1">
        <v>5.9538000000000002</v>
      </c>
      <c r="AB273" t="s">
        <v>50</v>
      </c>
      <c r="AC273" s="1">
        <v>1.0908</v>
      </c>
      <c r="AD273" t="s">
        <v>50</v>
      </c>
      <c r="AE273" t="s">
        <v>50</v>
      </c>
      <c r="AF273" s="1">
        <v>0.75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858</v>
      </c>
      <c r="AQ273" s="1">
        <v>1280</v>
      </c>
      <c r="AR273" t="s">
        <v>51</v>
      </c>
    </row>
    <row r="274" spans="1:44">
      <c r="A274" s="1">
        <v>31885</v>
      </c>
      <c r="B274" s="1">
        <v>35669</v>
      </c>
      <c r="C274" s="1">
        <v>31211</v>
      </c>
      <c r="D274" t="s">
        <v>860</v>
      </c>
      <c r="E274" t="s">
        <v>861</v>
      </c>
      <c r="F274" t="str">
        <f>VLOOKUP(E274,Tabela2[#All],2,FALSE)</f>
        <v>REVOLVER</v>
      </c>
      <c r="G274" t="s">
        <v>862</v>
      </c>
      <c r="H274" s="1">
        <v>1.86</v>
      </c>
      <c r="I274" s="1">
        <v>1.86</v>
      </c>
      <c r="J274" t="s">
        <v>46</v>
      </c>
      <c r="K274" s="1">
        <v>58.192238000000003</v>
      </c>
      <c r="L274" s="1">
        <v>4</v>
      </c>
      <c r="M274" s="1">
        <v>15.356</v>
      </c>
      <c r="N274" s="1">
        <v>32900</v>
      </c>
      <c r="O274" t="s">
        <v>47</v>
      </c>
      <c r="P274" t="s">
        <v>730</v>
      </c>
      <c r="Q274" t="s">
        <v>49</v>
      </c>
      <c r="R274" t="s">
        <v>50</v>
      </c>
      <c r="S274" s="1">
        <v>0.76</v>
      </c>
      <c r="T274" s="1">
        <v>22.483010279999998</v>
      </c>
      <c r="U274" s="1">
        <v>14.74378623</v>
      </c>
      <c r="V274" s="1">
        <v>0</v>
      </c>
      <c r="W274" s="1">
        <v>2.2039884000000001</v>
      </c>
      <c r="X274" t="s">
        <v>50</v>
      </c>
      <c r="Y274" s="1">
        <v>0.13930000000000001</v>
      </c>
      <c r="Z274" t="s">
        <v>50</v>
      </c>
      <c r="AA274" s="1">
        <v>1.3725000000000001</v>
      </c>
      <c r="AB274" t="s">
        <v>50</v>
      </c>
      <c r="AC274" s="1">
        <v>0.48480000000000001</v>
      </c>
      <c r="AD274" t="s">
        <v>50</v>
      </c>
      <c r="AE274" t="s">
        <v>50</v>
      </c>
      <c r="AF274" s="1">
        <v>0.20250000000000001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861</v>
      </c>
      <c r="AQ274" s="1">
        <v>1285</v>
      </c>
      <c r="AR274" t="s">
        <v>399</v>
      </c>
    </row>
    <row r="275" spans="1:44">
      <c r="A275" s="1">
        <v>32147</v>
      </c>
      <c r="B275" s="1">
        <v>35672</v>
      </c>
      <c r="C275" s="1">
        <v>31475</v>
      </c>
      <c r="D275" t="s">
        <v>863</v>
      </c>
      <c r="E275" t="s">
        <v>864</v>
      </c>
      <c r="F275" t="str">
        <f>VLOOKUP(E275,Tabela2[#All],2,FALSE)</f>
        <v>BASE SAPATÃO</v>
      </c>
      <c r="G275" t="s">
        <v>865</v>
      </c>
      <c r="H275" s="1">
        <v>7.22</v>
      </c>
      <c r="I275" s="1">
        <v>7.22</v>
      </c>
      <c r="J275" t="s">
        <v>46</v>
      </c>
      <c r="K275" s="1">
        <v>56.462584999999997</v>
      </c>
      <c r="L275" s="1">
        <v>1</v>
      </c>
      <c r="M275" s="1">
        <v>13.23</v>
      </c>
      <c r="N275" s="1">
        <v>32900</v>
      </c>
      <c r="O275" t="s">
        <v>47</v>
      </c>
      <c r="P275" t="s">
        <v>730</v>
      </c>
      <c r="Q275" t="s">
        <v>49</v>
      </c>
      <c r="R275" t="s">
        <v>50</v>
      </c>
      <c r="S275" t="s">
        <v>50</v>
      </c>
      <c r="T275" s="1">
        <v>66.205266609999995</v>
      </c>
      <c r="U275" s="1">
        <v>46.526748269999999</v>
      </c>
      <c r="V275" s="1">
        <v>0</v>
      </c>
      <c r="W275" s="1">
        <v>8.5552668000000001</v>
      </c>
      <c r="X275" t="s">
        <v>50</v>
      </c>
      <c r="Y275" s="1">
        <v>0.45450000000000002</v>
      </c>
      <c r="Z275" s="1">
        <v>1.08</v>
      </c>
      <c r="AA275" t="s">
        <v>50</v>
      </c>
      <c r="AB275" t="s">
        <v>50</v>
      </c>
      <c r="AC275" s="1">
        <v>1.4543999999999999</v>
      </c>
      <c r="AD275" t="s">
        <v>50</v>
      </c>
      <c r="AE275" t="s">
        <v>50</v>
      </c>
      <c r="AF275" s="1">
        <v>0.65159999999999996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864</v>
      </c>
      <c r="AQ275" s="1">
        <v>1808</v>
      </c>
      <c r="AR275" t="s">
        <v>51</v>
      </c>
    </row>
    <row r="276" spans="1:44">
      <c r="A276" s="1">
        <v>31841</v>
      </c>
      <c r="B276" s="1">
        <v>38768</v>
      </c>
      <c r="C276" s="1">
        <v>31181</v>
      </c>
      <c r="D276" t="s">
        <v>866</v>
      </c>
      <c r="E276" t="s">
        <v>867</v>
      </c>
      <c r="F276" t="str">
        <f>VLOOKUP(E276,Tabela2[#All],2,FALSE)</f>
        <v>TOCO</v>
      </c>
      <c r="G276" t="s">
        <v>868</v>
      </c>
      <c r="H276" s="1">
        <v>2.5099999999999998</v>
      </c>
      <c r="I276" s="1">
        <v>2.5099999999999998</v>
      </c>
      <c r="J276" t="s">
        <v>46</v>
      </c>
      <c r="K276" s="1">
        <v>55.414292000000003</v>
      </c>
      <c r="L276" s="1">
        <v>4</v>
      </c>
      <c r="M276" s="1">
        <v>22.81</v>
      </c>
      <c r="N276" s="1">
        <v>32900</v>
      </c>
      <c r="O276" t="s">
        <v>47</v>
      </c>
      <c r="P276" t="s">
        <v>730</v>
      </c>
      <c r="Q276" t="s">
        <v>49</v>
      </c>
      <c r="R276" t="s">
        <v>50</v>
      </c>
      <c r="S276" t="s">
        <v>50</v>
      </c>
      <c r="T276" s="1">
        <v>38.66161116</v>
      </c>
      <c r="U276" s="1">
        <v>17.886230680000001</v>
      </c>
      <c r="V276" s="1">
        <v>0</v>
      </c>
      <c r="W276" s="1">
        <v>2.9741993999999998</v>
      </c>
      <c r="X276" t="s">
        <v>50</v>
      </c>
      <c r="Y276" s="1">
        <v>0.1</v>
      </c>
      <c r="Z276" s="1">
        <v>1.714</v>
      </c>
      <c r="AA276" s="1">
        <v>2.3283900000000002</v>
      </c>
      <c r="AB276" t="s">
        <v>50</v>
      </c>
      <c r="AC276" s="1">
        <v>0.68559999999999999</v>
      </c>
      <c r="AD276" t="s">
        <v>50</v>
      </c>
      <c r="AE276" t="s">
        <v>50</v>
      </c>
      <c r="AF276" s="1">
        <v>0.20452500000000001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867</v>
      </c>
      <c r="AQ276" s="1">
        <v>1810</v>
      </c>
      <c r="AR276" t="s">
        <v>51</v>
      </c>
    </row>
    <row r="277" spans="1:44">
      <c r="A277" s="1">
        <v>119053</v>
      </c>
      <c r="B277" s="1">
        <v>119052</v>
      </c>
      <c r="C277" s="1">
        <v>101333</v>
      </c>
      <c r="D277" t="s">
        <v>869</v>
      </c>
      <c r="E277" t="s">
        <v>870</v>
      </c>
      <c r="F277" t="str">
        <f>VLOOKUP(E277,Tabela2[#All],2,FALSE)</f>
        <v>TERMINAL OLHAL</v>
      </c>
      <c r="G277" t="s">
        <v>871</v>
      </c>
      <c r="H277" s="1">
        <v>0.41</v>
      </c>
      <c r="I277" s="1">
        <v>0.41</v>
      </c>
      <c r="J277" t="s">
        <v>46</v>
      </c>
      <c r="K277" s="1">
        <v>53.346266</v>
      </c>
      <c r="L277" s="1">
        <v>10</v>
      </c>
      <c r="M277" s="1">
        <v>10.31</v>
      </c>
      <c r="N277" s="1">
        <v>32958</v>
      </c>
      <c r="O277" t="s">
        <v>81</v>
      </c>
      <c r="P277" t="s">
        <v>872</v>
      </c>
      <c r="Q277" t="s">
        <v>49</v>
      </c>
      <c r="R277" t="s">
        <v>50</v>
      </c>
      <c r="S277" t="s">
        <v>50</v>
      </c>
      <c r="T277" s="1">
        <v>8.5036251400000005</v>
      </c>
      <c r="U277" s="1">
        <v>4.0452320100000003</v>
      </c>
      <c r="V277" s="1">
        <v>1.5487200000000001</v>
      </c>
      <c r="W277" s="1">
        <v>0.48582540000000002</v>
      </c>
      <c r="X277" t="s">
        <v>50</v>
      </c>
      <c r="Y277" s="1">
        <v>3.2000000000000001E-2</v>
      </c>
      <c r="Z277" s="1">
        <v>0.1714</v>
      </c>
      <c r="AA277" s="1">
        <v>1.4159999999999999</v>
      </c>
      <c r="AB277" t="s">
        <v>50</v>
      </c>
      <c r="AC277" s="1">
        <v>0.20760000000000001</v>
      </c>
      <c r="AD277" t="s">
        <v>50</v>
      </c>
      <c r="AE277" t="s">
        <v>50</v>
      </c>
      <c r="AF277" s="1">
        <v>6.7697999999999994E-2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873</v>
      </c>
      <c r="AQ277" s="1">
        <v>13907</v>
      </c>
      <c r="AR277" t="s">
        <v>51</v>
      </c>
    </row>
    <row r="278" spans="1:44">
      <c r="A278" s="1">
        <v>119098</v>
      </c>
      <c r="B278" s="1">
        <v>119097</v>
      </c>
      <c r="C278" s="1">
        <v>101377</v>
      </c>
      <c r="D278" t="s">
        <v>874</v>
      </c>
      <c r="E278" t="s">
        <v>875</v>
      </c>
      <c r="F278" t="str">
        <f>VLOOKUP(E278,Tabela2[#All],2,FALSE)</f>
        <v>TERMINAL GARFO</v>
      </c>
      <c r="G278" t="s">
        <v>876</v>
      </c>
      <c r="H278" s="1">
        <v>0.43</v>
      </c>
      <c r="I278" s="1">
        <v>0.43</v>
      </c>
      <c r="J278" t="s">
        <v>46</v>
      </c>
      <c r="K278" s="1">
        <v>61.018298000000001</v>
      </c>
      <c r="L278" s="1">
        <v>13</v>
      </c>
      <c r="M278" s="1">
        <v>12.57</v>
      </c>
      <c r="N278" s="1">
        <v>32901</v>
      </c>
      <c r="O278" t="s">
        <v>534</v>
      </c>
      <c r="P278" t="s">
        <v>872</v>
      </c>
      <c r="Q278" t="s">
        <v>49</v>
      </c>
      <c r="R278" t="s">
        <v>50</v>
      </c>
      <c r="S278" t="s">
        <v>50</v>
      </c>
      <c r="T278" s="1">
        <v>8.6461294100000003</v>
      </c>
      <c r="U278" s="1">
        <v>3.9576519100000001</v>
      </c>
      <c r="V278" s="1">
        <v>1.5506</v>
      </c>
      <c r="W278" s="1">
        <v>0.50952419999999998</v>
      </c>
      <c r="X278" t="s">
        <v>50</v>
      </c>
      <c r="Y278" s="1">
        <v>4.2999999999999997E-2</v>
      </c>
      <c r="Z278" s="1">
        <v>0.52</v>
      </c>
      <c r="AA278" s="1">
        <v>1.2114</v>
      </c>
      <c r="AB278" t="s">
        <v>50</v>
      </c>
      <c r="AC278" s="1">
        <v>0.2082</v>
      </c>
      <c r="AD278" t="s">
        <v>50</v>
      </c>
      <c r="AE278" t="s">
        <v>50</v>
      </c>
      <c r="AF278" s="1">
        <v>5.2074000000000002E-2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877</v>
      </c>
      <c r="AQ278" s="1">
        <v>13948</v>
      </c>
      <c r="AR278" t="s">
        <v>51</v>
      </c>
    </row>
    <row r="279" spans="1:44">
      <c r="A279" s="1">
        <v>31619</v>
      </c>
      <c r="B279" s="1">
        <v>35773</v>
      </c>
      <c r="C279" s="1">
        <v>30958</v>
      </c>
      <c r="D279" t="s">
        <v>878</v>
      </c>
      <c r="E279" t="s">
        <v>879</v>
      </c>
      <c r="F279" t="str">
        <f>VLOOKUP(E279,Tabela2[#All],2,FALSE)</f>
        <v>FLANGE</v>
      </c>
      <c r="G279" t="s">
        <v>880</v>
      </c>
      <c r="H279" s="1">
        <v>6.11</v>
      </c>
      <c r="I279" s="1">
        <v>6.11</v>
      </c>
      <c r="J279" t="s">
        <v>46</v>
      </c>
      <c r="K279" s="1">
        <v>58.779342999999997</v>
      </c>
      <c r="L279" s="1">
        <v>1</v>
      </c>
      <c r="M279" s="1">
        <v>10.65</v>
      </c>
      <c r="N279" s="1">
        <v>32958</v>
      </c>
      <c r="O279" t="s">
        <v>81</v>
      </c>
      <c r="P279" t="s">
        <v>256</v>
      </c>
      <c r="Q279" t="s">
        <v>49</v>
      </c>
      <c r="R279" t="s">
        <v>50</v>
      </c>
      <c r="S279" s="1">
        <v>3.26</v>
      </c>
      <c r="T279" s="1">
        <v>49.788594160000002</v>
      </c>
      <c r="U279" s="1">
        <v>47.587550890000003</v>
      </c>
      <c r="V279" s="1">
        <v>0</v>
      </c>
      <c r="W279" s="1">
        <v>0</v>
      </c>
      <c r="X279" t="s">
        <v>50</v>
      </c>
      <c r="Y279" s="1">
        <v>0.2142</v>
      </c>
      <c r="Z279" t="s">
        <v>50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s="1">
        <v>0.78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881</v>
      </c>
      <c r="AQ279" s="1">
        <v>404</v>
      </c>
      <c r="AR279" t="s">
        <v>51</v>
      </c>
    </row>
    <row r="280" spans="1:44">
      <c r="A280" s="1">
        <v>116969</v>
      </c>
      <c r="B280" s="1">
        <v>116968</v>
      </c>
      <c r="C280" s="1">
        <v>99370</v>
      </c>
      <c r="D280" t="s">
        <v>882</v>
      </c>
      <c r="E280" t="s">
        <v>883</v>
      </c>
      <c r="F280" t="str">
        <f>VLOOKUP(E280,Tabela2[#All],2,FALSE)</f>
        <v>ROLDANA</v>
      </c>
      <c r="G280" t="s">
        <v>884</v>
      </c>
      <c r="H280" s="1">
        <v>0.21</v>
      </c>
      <c r="I280" s="1">
        <v>0.21</v>
      </c>
      <c r="J280" t="s">
        <v>46</v>
      </c>
      <c r="K280" s="1">
        <v>41.602331</v>
      </c>
      <c r="L280" s="1">
        <v>24</v>
      </c>
      <c r="M280" s="1">
        <v>13.73</v>
      </c>
      <c r="N280" s="1">
        <v>32900</v>
      </c>
      <c r="O280" t="s">
        <v>47</v>
      </c>
      <c r="P280" t="s">
        <v>885</v>
      </c>
      <c r="Q280" t="s">
        <v>49</v>
      </c>
      <c r="R280" t="s">
        <v>50</v>
      </c>
      <c r="S280" t="s">
        <v>50</v>
      </c>
      <c r="T280" s="1">
        <v>5.4698709000000001</v>
      </c>
      <c r="U280" s="1">
        <v>2.9319061500000001</v>
      </c>
      <c r="V280" s="1">
        <v>0.83187916666666661</v>
      </c>
      <c r="W280" s="1">
        <v>0.24883739999999999</v>
      </c>
      <c r="X280" t="s">
        <v>50</v>
      </c>
      <c r="Y280" s="1">
        <v>0.06</v>
      </c>
      <c r="Z280" t="s">
        <v>50</v>
      </c>
      <c r="AA280" t="s">
        <v>50</v>
      </c>
      <c r="AB280" t="s">
        <v>50</v>
      </c>
      <c r="AC280" s="1">
        <v>0.2</v>
      </c>
      <c r="AD280" t="s">
        <v>50</v>
      </c>
      <c r="AE280" t="s">
        <v>50</v>
      </c>
      <c r="AF280" s="1">
        <v>3.1251000000000001E-2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886</v>
      </c>
      <c r="AQ280" s="1">
        <v>13227</v>
      </c>
      <c r="AR280" t="s">
        <v>51</v>
      </c>
    </row>
    <row r="281" spans="1:44">
      <c r="A281" s="1">
        <v>36845</v>
      </c>
      <c r="B281" s="1">
        <v>32411</v>
      </c>
      <c r="C281" s="1">
        <v>31744</v>
      </c>
      <c r="D281" t="s">
        <v>887</v>
      </c>
      <c r="E281" t="s">
        <v>888</v>
      </c>
      <c r="F281" t="str">
        <f>VLOOKUP(E281,Tabela2[#All],2,FALSE)</f>
        <v>Válvula Nível 3</v>
      </c>
      <c r="G281" t="s">
        <v>889</v>
      </c>
      <c r="H281" s="1">
        <v>2.7</v>
      </c>
      <c r="I281" s="1">
        <v>2.7</v>
      </c>
      <c r="J281" t="s">
        <v>65</v>
      </c>
      <c r="K281" s="1">
        <v>71.447057999999998</v>
      </c>
      <c r="L281" s="1">
        <v>3.3333300000000001</v>
      </c>
      <c r="M281" s="1">
        <v>12.83</v>
      </c>
      <c r="N281" s="1">
        <v>36441</v>
      </c>
      <c r="O281" t="s">
        <v>66</v>
      </c>
      <c r="P281" t="s">
        <v>890</v>
      </c>
      <c r="Q281" t="s">
        <v>68</v>
      </c>
      <c r="R281" s="1">
        <v>0.23499999999999999</v>
      </c>
      <c r="S281" t="s">
        <v>50</v>
      </c>
      <c r="T281" s="1">
        <v>37.165483989999998</v>
      </c>
      <c r="U281" s="1">
        <v>37.157697030000001</v>
      </c>
      <c r="V281" s="1">
        <v>0</v>
      </c>
      <c r="W281" s="1">
        <v>0</v>
      </c>
      <c r="X281" t="s">
        <v>50</v>
      </c>
      <c r="Y281" t="s">
        <v>50</v>
      </c>
      <c r="Z281" t="s">
        <v>50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s="1">
        <v>0.25</v>
      </c>
      <c r="AH281" s="1">
        <v>1.1117999999999999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s="1">
        <v>3</v>
      </c>
      <c r="AO281" t="s">
        <v>50</v>
      </c>
      <c r="AP281" t="s">
        <v>891</v>
      </c>
      <c r="AQ281" s="1">
        <v>2518</v>
      </c>
      <c r="AR281" t="s">
        <v>70</v>
      </c>
    </row>
    <row r="282" spans="1:44">
      <c r="A282" s="1">
        <v>32357</v>
      </c>
      <c r="B282" s="1">
        <v>32368</v>
      </c>
      <c r="C282" s="1">
        <v>31700</v>
      </c>
      <c r="D282" t="s">
        <v>892</v>
      </c>
      <c r="E282" t="s">
        <v>893</v>
      </c>
      <c r="F282" t="str">
        <f>VLOOKUP(E282,Tabela2[#All],2,FALSE)</f>
        <v>Válvula Nível 3</v>
      </c>
      <c r="G282" t="s">
        <v>894</v>
      </c>
      <c r="H282" s="1">
        <v>3.1</v>
      </c>
      <c r="I282" s="1">
        <v>3.1</v>
      </c>
      <c r="J282" t="s">
        <v>65</v>
      </c>
      <c r="K282" s="1">
        <v>77.037036999999998</v>
      </c>
      <c r="L282" s="1">
        <v>3.3</v>
      </c>
      <c r="M282" s="1">
        <v>15.83</v>
      </c>
      <c r="N282" s="1">
        <v>36446</v>
      </c>
      <c r="O282" t="s">
        <v>119</v>
      </c>
      <c r="P282" t="s">
        <v>890</v>
      </c>
      <c r="Q282" t="s">
        <v>68</v>
      </c>
      <c r="R282" s="1">
        <v>0.18</v>
      </c>
      <c r="S282" t="s">
        <v>50</v>
      </c>
      <c r="T282" s="1">
        <v>66.010473450000006</v>
      </c>
      <c r="U282" s="1">
        <v>38.26691031</v>
      </c>
      <c r="V282" s="1">
        <v>0</v>
      </c>
      <c r="W282" s="1">
        <v>0</v>
      </c>
      <c r="X282" t="s">
        <v>50</v>
      </c>
      <c r="Y282" t="s">
        <v>50</v>
      </c>
      <c r="Z282" t="s">
        <v>50</v>
      </c>
      <c r="AA282" t="s">
        <v>50</v>
      </c>
      <c r="AB282" s="1">
        <v>8.1199999999999992</v>
      </c>
      <c r="AC282" t="s">
        <v>50</v>
      </c>
      <c r="AD282" t="s">
        <v>50</v>
      </c>
      <c r="AE282" t="s">
        <v>50</v>
      </c>
      <c r="AF282" t="s">
        <v>50</v>
      </c>
      <c r="AG282" s="1">
        <v>0.25</v>
      </c>
      <c r="AH282" s="1">
        <v>0.91449999999999998</v>
      </c>
      <c r="AI282" s="1">
        <v>0.1111</v>
      </c>
      <c r="AJ282" t="s">
        <v>50</v>
      </c>
      <c r="AK282" t="s">
        <v>50</v>
      </c>
      <c r="AL282" t="s">
        <v>50</v>
      </c>
      <c r="AM282" t="s">
        <v>50</v>
      </c>
      <c r="AN282" s="1">
        <v>3</v>
      </c>
      <c r="AO282" t="s">
        <v>50</v>
      </c>
      <c r="AP282" t="s">
        <v>895</v>
      </c>
      <c r="AQ282" s="1">
        <v>2560</v>
      </c>
      <c r="AR282" t="s">
        <v>70</v>
      </c>
    </row>
    <row r="283" spans="1:44">
      <c r="A283" s="1">
        <v>43384</v>
      </c>
      <c r="B283" s="1">
        <v>32368</v>
      </c>
      <c r="C283" s="1">
        <v>31700</v>
      </c>
      <c r="D283" t="s">
        <v>896</v>
      </c>
      <c r="E283" t="s">
        <v>893</v>
      </c>
      <c r="F283" t="str">
        <f>VLOOKUP(E283,Tabela2[#All],2,FALSE)</f>
        <v>Válvula Nível 3</v>
      </c>
      <c r="G283" t="s">
        <v>894</v>
      </c>
      <c r="H283" s="1">
        <v>3.15</v>
      </c>
      <c r="I283" s="1">
        <v>3.15</v>
      </c>
      <c r="J283" t="s">
        <v>65</v>
      </c>
      <c r="K283" s="1">
        <v>77.037036999999998</v>
      </c>
      <c r="L283" s="1">
        <v>3.3</v>
      </c>
      <c r="M283" s="1">
        <v>15.83</v>
      </c>
      <c r="N283" s="1">
        <v>36446</v>
      </c>
      <c r="O283" t="s">
        <v>119</v>
      </c>
      <c r="P283" t="s">
        <v>890</v>
      </c>
      <c r="Q283" t="s">
        <v>68</v>
      </c>
      <c r="R283" s="1">
        <v>0.18</v>
      </c>
      <c r="S283" t="s">
        <v>50</v>
      </c>
      <c r="T283" s="1">
        <v>63.387673450000001</v>
      </c>
      <c r="U283" s="1">
        <v>38.26691031</v>
      </c>
      <c r="V283" s="1">
        <v>0</v>
      </c>
      <c r="W283" s="1">
        <v>0</v>
      </c>
      <c r="X283" t="s">
        <v>50</v>
      </c>
      <c r="Y283" t="s">
        <v>50</v>
      </c>
      <c r="Z283" t="s">
        <v>50</v>
      </c>
      <c r="AA283" t="s">
        <v>50</v>
      </c>
      <c r="AB283" s="1">
        <v>7.29</v>
      </c>
      <c r="AC283" t="s">
        <v>50</v>
      </c>
      <c r="AD283" t="s">
        <v>50</v>
      </c>
      <c r="AE283" t="s">
        <v>50</v>
      </c>
      <c r="AF283" t="s">
        <v>50</v>
      </c>
      <c r="AG283" s="1">
        <v>0.25</v>
      </c>
      <c r="AH283" s="1">
        <v>0.91449999999999998</v>
      </c>
      <c r="AI283" s="1">
        <v>0.1111</v>
      </c>
      <c r="AJ283" t="s">
        <v>50</v>
      </c>
      <c r="AK283" t="s">
        <v>50</v>
      </c>
      <c r="AL283" t="s">
        <v>50</v>
      </c>
      <c r="AM283" t="s">
        <v>50</v>
      </c>
      <c r="AN283" s="1">
        <v>3</v>
      </c>
      <c r="AO283" t="s">
        <v>50</v>
      </c>
      <c r="AP283" t="s">
        <v>895</v>
      </c>
      <c r="AQ283" s="1">
        <v>2560</v>
      </c>
      <c r="AR283" t="s">
        <v>70</v>
      </c>
    </row>
    <row r="284" spans="1:44">
      <c r="A284" s="1">
        <v>36849</v>
      </c>
      <c r="B284" s="1">
        <v>32410</v>
      </c>
      <c r="C284" s="1">
        <v>31743</v>
      </c>
      <c r="D284" t="s">
        <v>897</v>
      </c>
      <c r="E284" t="s">
        <v>898</v>
      </c>
      <c r="F284" t="str">
        <f>VLOOKUP(E284,Tabela2[#All],2,FALSE)</f>
        <v>Válvula Nível 3</v>
      </c>
      <c r="G284" t="s">
        <v>899</v>
      </c>
      <c r="H284" s="1">
        <v>2.6</v>
      </c>
      <c r="I284" s="1">
        <v>2.6</v>
      </c>
      <c r="J284" t="s">
        <v>65</v>
      </c>
      <c r="K284" s="1">
        <v>81.275487999999996</v>
      </c>
      <c r="L284" s="1">
        <v>3.4285709999999998</v>
      </c>
      <c r="M284" s="1">
        <v>12.571</v>
      </c>
      <c r="N284" s="1">
        <v>36446</v>
      </c>
      <c r="O284" t="s">
        <v>119</v>
      </c>
      <c r="P284" t="s">
        <v>890</v>
      </c>
      <c r="Q284" t="s">
        <v>68</v>
      </c>
      <c r="R284" s="1">
        <v>0.31</v>
      </c>
      <c r="S284" t="s">
        <v>50</v>
      </c>
      <c r="T284" s="1">
        <v>30.891660609999999</v>
      </c>
      <c r="U284" s="1">
        <v>30.822280429999999</v>
      </c>
      <c r="V284" s="1">
        <v>0</v>
      </c>
      <c r="W284" s="1">
        <v>0</v>
      </c>
      <c r="X284" t="s">
        <v>50</v>
      </c>
      <c r="Y284" t="s">
        <v>50</v>
      </c>
      <c r="Z284" t="s">
        <v>50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s="1">
        <v>9.3700000000000006E-2</v>
      </c>
      <c r="AH284" s="1">
        <v>0.74</v>
      </c>
      <c r="AI284" s="1">
        <v>7.6600000000000001E-2</v>
      </c>
      <c r="AJ284" t="s">
        <v>50</v>
      </c>
      <c r="AK284" t="s">
        <v>50</v>
      </c>
      <c r="AL284" t="s">
        <v>50</v>
      </c>
      <c r="AM284" t="s">
        <v>50</v>
      </c>
      <c r="AN284" s="1">
        <v>2.25</v>
      </c>
      <c r="AO284" t="s">
        <v>50</v>
      </c>
      <c r="AP284" t="s">
        <v>900</v>
      </c>
      <c r="AQ284" s="1">
        <v>1949</v>
      </c>
      <c r="AR284" t="s">
        <v>70</v>
      </c>
    </row>
    <row r="285" spans="1:44">
      <c r="A285" s="1">
        <v>43380</v>
      </c>
      <c r="B285" s="1">
        <v>32369</v>
      </c>
      <c r="C285" s="1">
        <v>31701</v>
      </c>
      <c r="D285" t="s">
        <v>901</v>
      </c>
      <c r="E285" t="s">
        <v>902</v>
      </c>
      <c r="F285" t="str">
        <f>VLOOKUP(E285,Tabela2[#All],2,FALSE)</f>
        <v>Válvula Nível 3</v>
      </c>
      <c r="G285" t="s">
        <v>903</v>
      </c>
      <c r="H285" s="1">
        <v>1.6</v>
      </c>
      <c r="I285" s="1">
        <v>1.6</v>
      </c>
      <c r="J285" t="s">
        <v>65</v>
      </c>
      <c r="K285" s="1">
        <v>69.047628000000003</v>
      </c>
      <c r="L285" s="1">
        <v>3.3330000000000002</v>
      </c>
      <c r="M285" s="1">
        <v>10.33</v>
      </c>
      <c r="N285" s="1">
        <v>36441</v>
      </c>
      <c r="O285" t="s">
        <v>66</v>
      </c>
      <c r="P285" t="s">
        <v>890</v>
      </c>
      <c r="Q285" t="s">
        <v>68</v>
      </c>
      <c r="R285" s="1">
        <v>0.18</v>
      </c>
      <c r="S285" t="s">
        <v>50</v>
      </c>
      <c r="T285" s="1">
        <v>58.57169296</v>
      </c>
      <c r="U285" s="1">
        <v>26.144102579999998</v>
      </c>
      <c r="V285" s="1">
        <v>0</v>
      </c>
      <c r="W285" s="1">
        <v>0</v>
      </c>
      <c r="X285" t="s">
        <v>50</v>
      </c>
      <c r="Y285" t="s">
        <v>50</v>
      </c>
      <c r="Z285" t="s">
        <v>50</v>
      </c>
      <c r="AA285" t="s">
        <v>50</v>
      </c>
      <c r="AB285" s="1">
        <v>9.68</v>
      </c>
      <c r="AC285" t="s">
        <v>50</v>
      </c>
      <c r="AD285" t="s">
        <v>50</v>
      </c>
      <c r="AE285" t="s">
        <v>50</v>
      </c>
      <c r="AF285" t="s">
        <v>50</v>
      </c>
      <c r="AG285" s="1">
        <v>0.25</v>
      </c>
      <c r="AH285" s="1">
        <v>0.78590000000000004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s="1">
        <v>2.25</v>
      </c>
      <c r="AO285" t="s">
        <v>50</v>
      </c>
      <c r="AP285" t="s">
        <v>904</v>
      </c>
      <c r="AQ285" s="1">
        <v>2559</v>
      </c>
      <c r="AR285" t="s">
        <v>70</v>
      </c>
    </row>
    <row r="286" spans="1:44">
      <c r="A286" s="1">
        <v>32359</v>
      </c>
      <c r="B286" s="1">
        <v>32369</v>
      </c>
      <c r="C286" s="1">
        <v>31701</v>
      </c>
      <c r="D286" t="s">
        <v>905</v>
      </c>
      <c r="E286" t="s">
        <v>902</v>
      </c>
      <c r="F286" t="str">
        <f>VLOOKUP(E286,Tabela2[#All],2,FALSE)</f>
        <v>Válvula Nível 3</v>
      </c>
      <c r="G286" t="s">
        <v>903</v>
      </c>
      <c r="H286" s="1">
        <v>1.6</v>
      </c>
      <c r="I286" s="1">
        <v>1.6</v>
      </c>
      <c r="J286" t="s">
        <v>65</v>
      </c>
      <c r="K286" s="1">
        <v>69.047628000000003</v>
      </c>
      <c r="L286" s="1">
        <v>3.3330000000000002</v>
      </c>
      <c r="M286" s="1">
        <v>10.33</v>
      </c>
      <c r="N286" s="1">
        <v>36441</v>
      </c>
      <c r="O286" t="s">
        <v>66</v>
      </c>
      <c r="P286" t="s">
        <v>890</v>
      </c>
      <c r="Q286" t="s">
        <v>68</v>
      </c>
      <c r="R286" s="1">
        <v>0.18</v>
      </c>
      <c r="S286" t="s">
        <v>50</v>
      </c>
      <c r="T286" s="1">
        <v>58.204865720000001</v>
      </c>
      <c r="U286" s="1">
        <v>26.144102579999998</v>
      </c>
      <c r="V286" s="1">
        <v>0</v>
      </c>
      <c r="W286" s="1">
        <v>0</v>
      </c>
      <c r="X286" t="s">
        <v>50</v>
      </c>
      <c r="Y286" t="s">
        <v>50</v>
      </c>
      <c r="Z286" t="s">
        <v>50</v>
      </c>
      <c r="AA286" t="s">
        <v>50</v>
      </c>
      <c r="AB286" s="1">
        <v>9.67</v>
      </c>
      <c r="AC286" t="s">
        <v>50</v>
      </c>
      <c r="AD286" t="s">
        <v>50</v>
      </c>
      <c r="AE286" t="s">
        <v>50</v>
      </c>
      <c r="AF286" t="s">
        <v>50</v>
      </c>
      <c r="AG286" s="1">
        <v>0.25</v>
      </c>
      <c r="AH286" s="1">
        <v>0.78590000000000004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s="1">
        <v>2.25</v>
      </c>
      <c r="AO286" t="s">
        <v>50</v>
      </c>
      <c r="AP286" t="s">
        <v>904</v>
      </c>
      <c r="AQ286" s="1">
        <v>2559</v>
      </c>
      <c r="AR286" t="s">
        <v>70</v>
      </c>
    </row>
    <row r="287" spans="1:44">
      <c r="A287" s="1">
        <v>43412</v>
      </c>
      <c r="B287" s="1">
        <v>32369</v>
      </c>
      <c r="C287" s="1">
        <v>31701</v>
      </c>
      <c r="D287" t="s">
        <v>906</v>
      </c>
      <c r="E287" t="s">
        <v>902</v>
      </c>
      <c r="F287" t="str">
        <f>VLOOKUP(E287,Tabela2[#All],2,FALSE)</f>
        <v>Válvula Nível 3</v>
      </c>
      <c r="G287" t="s">
        <v>903</v>
      </c>
      <c r="H287" s="1">
        <v>1.6</v>
      </c>
      <c r="I287" s="1">
        <v>1.6</v>
      </c>
      <c r="J287" t="s">
        <v>65</v>
      </c>
      <c r="K287" s="1">
        <v>69.047628000000003</v>
      </c>
      <c r="L287" s="1">
        <v>3.3330000000000002</v>
      </c>
      <c r="M287" s="1">
        <v>10.33</v>
      </c>
      <c r="N287" s="1">
        <v>36441</v>
      </c>
      <c r="O287" t="s">
        <v>66</v>
      </c>
      <c r="P287" t="s">
        <v>890</v>
      </c>
      <c r="Q287" t="s">
        <v>68</v>
      </c>
      <c r="R287" s="1">
        <v>0.18</v>
      </c>
      <c r="S287" t="s">
        <v>50</v>
      </c>
      <c r="T287" s="1">
        <v>56.536693720000002</v>
      </c>
      <c r="U287" s="1">
        <v>26.144102579999998</v>
      </c>
      <c r="V287" s="1">
        <v>0</v>
      </c>
      <c r="W287" s="1">
        <v>0</v>
      </c>
      <c r="X287" t="s">
        <v>50</v>
      </c>
      <c r="Y287" t="s">
        <v>50</v>
      </c>
      <c r="Z287" t="s">
        <v>50</v>
      </c>
      <c r="AA287" t="s">
        <v>50</v>
      </c>
      <c r="AB287" s="1">
        <v>8.9582999999999995</v>
      </c>
      <c r="AC287" t="s">
        <v>50</v>
      </c>
      <c r="AD287" t="s">
        <v>50</v>
      </c>
      <c r="AE287" t="s">
        <v>50</v>
      </c>
      <c r="AF287" t="s">
        <v>50</v>
      </c>
      <c r="AG287" s="1">
        <v>0.25</v>
      </c>
      <c r="AH287" s="1">
        <v>0.78590000000000004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s="1">
        <v>2.25</v>
      </c>
      <c r="AO287" t="s">
        <v>50</v>
      </c>
      <c r="AP287" t="s">
        <v>904</v>
      </c>
      <c r="AQ287" s="1">
        <v>2559</v>
      </c>
      <c r="AR287" t="s">
        <v>70</v>
      </c>
    </row>
    <row r="288" spans="1:44">
      <c r="A288" s="1">
        <v>114247</v>
      </c>
      <c r="B288" s="1">
        <v>114249</v>
      </c>
      <c r="C288" s="1">
        <v>96731</v>
      </c>
      <c r="D288" t="s">
        <v>910</v>
      </c>
      <c r="E288" t="s">
        <v>911</v>
      </c>
      <c r="F288" t="str">
        <f>VLOOKUP(E288,Tabela2[#All],2,FALSE)</f>
        <v>Válvula Nível 3</v>
      </c>
      <c r="G288" t="s">
        <v>912</v>
      </c>
      <c r="H288" s="1">
        <v>2.57</v>
      </c>
      <c r="I288" s="1">
        <v>2.6</v>
      </c>
      <c r="J288" t="s">
        <v>65</v>
      </c>
      <c r="K288" s="1">
        <v>67.010309000000007</v>
      </c>
      <c r="L288" s="1">
        <v>4</v>
      </c>
      <c r="M288" s="1">
        <v>15.52</v>
      </c>
      <c r="N288" s="1">
        <v>36446</v>
      </c>
      <c r="O288" t="s">
        <v>119</v>
      </c>
      <c r="P288" t="s">
        <v>890</v>
      </c>
      <c r="Q288" t="s">
        <v>68</v>
      </c>
      <c r="R288" s="1">
        <v>0.33800000000000002</v>
      </c>
      <c r="S288" t="s">
        <v>50</v>
      </c>
      <c r="T288" s="1">
        <v>45.798939789999999</v>
      </c>
      <c r="U288" s="1">
        <v>45.798939789999999</v>
      </c>
      <c r="V288" s="1">
        <v>0</v>
      </c>
      <c r="W288" s="1">
        <v>0</v>
      </c>
      <c r="X288" t="s">
        <v>50</v>
      </c>
      <c r="Y288" t="s">
        <v>50</v>
      </c>
      <c r="Z288" t="s">
        <v>50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s="1">
        <v>0.25</v>
      </c>
      <c r="AH288" s="1">
        <v>1.02</v>
      </c>
      <c r="AI288" s="1">
        <v>0.12</v>
      </c>
      <c r="AJ288" t="s">
        <v>50</v>
      </c>
      <c r="AK288" t="s">
        <v>50</v>
      </c>
      <c r="AL288" t="s">
        <v>50</v>
      </c>
      <c r="AM288" t="s">
        <v>50</v>
      </c>
      <c r="AN288" s="1">
        <v>3.6</v>
      </c>
      <c r="AO288" t="s">
        <v>50</v>
      </c>
      <c r="AP288" t="s">
        <v>913</v>
      </c>
      <c r="AQ288" s="1">
        <v>12467</v>
      </c>
      <c r="AR288" t="s">
        <v>70</v>
      </c>
    </row>
    <row r="289" spans="1:44">
      <c r="A289" s="1">
        <v>114329</v>
      </c>
      <c r="B289" s="1">
        <v>114327</v>
      </c>
      <c r="C289" s="1">
        <v>96810</v>
      </c>
      <c r="D289" t="s">
        <v>914</v>
      </c>
      <c r="E289" t="s">
        <v>915</v>
      </c>
      <c r="F289" t="str">
        <f>VLOOKUP(E289,Tabela2[#All],2,FALSE)</f>
        <v>Válvula Nível 1</v>
      </c>
      <c r="G289" t="s">
        <v>916</v>
      </c>
      <c r="H289" s="1">
        <v>5.63</v>
      </c>
      <c r="I289" s="1">
        <v>5.63</v>
      </c>
      <c r="J289" t="s">
        <v>65</v>
      </c>
      <c r="K289" s="1">
        <v>64.441867000000002</v>
      </c>
      <c r="L289" s="1">
        <v>1.6666000000000001</v>
      </c>
      <c r="M289" s="1">
        <v>15</v>
      </c>
      <c r="N289" s="1">
        <v>36446</v>
      </c>
      <c r="O289" t="s">
        <v>119</v>
      </c>
      <c r="P289" t="s">
        <v>890</v>
      </c>
      <c r="Q289" t="s">
        <v>68</v>
      </c>
      <c r="R289" s="1">
        <v>0.53</v>
      </c>
      <c r="S289" t="s">
        <v>50</v>
      </c>
      <c r="T289" s="1">
        <v>81.030496450000001</v>
      </c>
      <c r="U289" s="1">
        <v>77.511066450000001</v>
      </c>
      <c r="V289" s="1">
        <v>0</v>
      </c>
      <c r="W289" s="1">
        <v>0</v>
      </c>
      <c r="X289" t="s">
        <v>50</v>
      </c>
      <c r="Y289" s="1">
        <v>0.17</v>
      </c>
      <c r="Z289" t="s">
        <v>50</v>
      </c>
      <c r="AA289" s="1">
        <v>1.2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s="1">
        <v>0.4</v>
      </c>
      <c r="AH289" s="1">
        <v>1.45</v>
      </c>
      <c r="AI289" s="1">
        <v>0.27</v>
      </c>
      <c r="AJ289" t="s">
        <v>50</v>
      </c>
      <c r="AK289" t="s">
        <v>50</v>
      </c>
      <c r="AL289" t="s">
        <v>50</v>
      </c>
      <c r="AM289" t="s">
        <v>50</v>
      </c>
      <c r="AN289" s="1">
        <v>4.5</v>
      </c>
      <c r="AO289" t="s">
        <v>50</v>
      </c>
      <c r="AP289" t="s">
        <v>917</v>
      </c>
      <c r="AQ289" s="1">
        <v>12507</v>
      </c>
      <c r="AR289" t="s">
        <v>70</v>
      </c>
    </row>
    <row r="290" spans="1:44">
      <c r="A290" s="1">
        <v>44724</v>
      </c>
      <c r="B290" s="1">
        <v>44723</v>
      </c>
      <c r="C290" s="1">
        <v>39767</v>
      </c>
      <c r="D290" t="s">
        <v>918</v>
      </c>
      <c r="E290" t="s">
        <v>919</v>
      </c>
      <c r="F290" t="str">
        <f>VLOOKUP(E290,Tabela2[#All],2,FALSE)</f>
        <v>Válvula Nível 5</v>
      </c>
      <c r="G290" t="s">
        <v>920</v>
      </c>
      <c r="H290" s="1">
        <v>5.52</v>
      </c>
      <c r="I290" s="1">
        <v>5.52</v>
      </c>
      <c r="J290" t="s">
        <v>65</v>
      </c>
      <c r="K290" s="1">
        <v>68.373333000000002</v>
      </c>
      <c r="L290" s="1">
        <v>1.6</v>
      </c>
      <c r="M290" s="1">
        <v>15</v>
      </c>
      <c r="N290" s="1">
        <v>36446</v>
      </c>
      <c r="O290" t="s">
        <v>119</v>
      </c>
      <c r="P290" t="s">
        <v>890</v>
      </c>
      <c r="Q290" t="s">
        <v>68</v>
      </c>
      <c r="R290" t="s">
        <v>50</v>
      </c>
      <c r="S290" t="s">
        <v>50</v>
      </c>
      <c r="T290" s="1">
        <v>70.75400535</v>
      </c>
      <c r="U290" s="1">
        <v>48.439934559999998</v>
      </c>
      <c r="V290" s="1">
        <v>0</v>
      </c>
      <c r="W290" s="1">
        <v>0</v>
      </c>
      <c r="X290" t="s">
        <v>50</v>
      </c>
      <c r="Y290" t="s">
        <v>50</v>
      </c>
      <c r="Z290" t="s">
        <v>50</v>
      </c>
      <c r="AA290" t="s">
        <v>50</v>
      </c>
      <c r="AB290" s="1">
        <v>6.4</v>
      </c>
      <c r="AC290" t="s">
        <v>50</v>
      </c>
      <c r="AD290" t="s">
        <v>50</v>
      </c>
      <c r="AE290" t="s">
        <v>50</v>
      </c>
      <c r="AF290" t="s">
        <v>50</v>
      </c>
      <c r="AG290" s="1">
        <v>0.625</v>
      </c>
      <c r="AH290" s="1">
        <v>0.8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921</v>
      </c>
      <c r="AQ290" s="1">
        <v>2525</v>
      </c>
      <c r="AR290" t="s">
        <v>70</v>
      </c>
    </row>
    <row r="291" spans="1:44">
      <c r="A291" s="1">
        <v>52018</v>
      </c>
      <c r="B291" s="1">
        <v>52019</v>
      </c>
      <c r="C291" s="1">
        <v>46488</v>
      </c>
      <c r="D291" t="s">
        <v>922</v>
      </c>
      <c r="E291" t="s">
        <v>923</v>
      </c>
      <c r="F291" t="str">
        <f>VLOOKUP(E291,Tabela2[#All],2,FALSE)</f>
        <v>Válvula Nível 3</v>
      </c>
      <c r="G291" t="s">
        <v>924</v>
      </c>
      <c r="H291" s="1">
        <v>1.6</v>
      </c>
      <c r="I291" s="1">
        <v>1.6</v>
      </c>
      <c r="J291" t="s">
        <v>65</v>
      </c>
      <c r="K291" s="1">
        <v>65.246752999999998</v>
      </c>
      <c r="L291" s="1">
        <v>6.4</v>
      </c>
      <c r="M291" s="1">
        <v>15.4</v>
      </c>
      <c r="N291" s="1">
        <v>36441</v>
      </c>
      <c r="O291" t="s">
        <v>66</v>
      </c>
      <c r="P291" t="s">
        <v>890</v>
      </c>
      <c r="Q291" t="s">
        <v>68</v>
      </c>
      <c r="R291" t="s">
        <v>50</v>
      </c>
      <c r="S291" t="s">
        <v>50</v>
      </c>
      <c r="T291" s="1">
        <v>39.037077940000003</v>
      </c>
      <c r="U291" s="1">
        <v>25.484098280000001</v>
      </c>
      <c r="V291" s="1">
        <v>0</v>
      </c>
      <c r="W291" s="1">
        <v>0</v>
      </c>
      <c r="X291" t="s">
        <v>50</v>
      </c>
      <c r="Y291" t="s">
        <v>50</v>
      </c>
      <c r="Z291" t="s">
        <v>50</v>
      </c>
      <c r="AA291" t="s">
        <v>50</v>
      </c>
      <c r="AB291" s="1">
        <v>3.9722</v>
      </c>
      <c r="AC291" t="s">
        <v>50</v>
      </c>
      <c r="AD291" t="s">
        <v>50</v>
      </c>
      <c r="AE291" t="s">
        <v>50</v>
      </c>
      <c r="AF291" t="s">
        <v>50</v>
      </c>
      <c r="AG291" s="1">
        <v>0.15625</v>
      </c>
      <c r="AH291" s="1">
        <v>0.66069999999999995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s="1">
        <v>3</v>
      </c>
      <c r="AO291" t="s">
        <v>50</v>
      </c>
      <c r="AP291" t="s">
        <v>925</v>
      </c>
      <c r="AQ291" s="1">
        <v>3102</v>
      </c>
      <c r="AR291" t="s">
        <v>70</v>
      </c>
    </row>
    <row r="292" spans="1:44">
      <c r="A292" s="1">
        <v>45472</v>
      </c>
      <c r="B292" s="1">
        <v>44737</v>
      </c>
      <c r="C292" s="1">
        <v>39781</v>
      </c>
      <c r="D292" t="s">
        <v>926</v>
      </c>
      <c r="E292" t="s">
        <v>927</v>
      </c>
      <c r="F292" t="str">
        <f>VLOOKUP(E292,Tabela2[#All],2,FALSE)</f>
        <v>Válvula Nível 4</v>
      </c>
      <c r="G292" t="s">
        <v>928</v>
      </c>
      <c r="H292" s="1">
        <v>2.35</v>
      </c>
      <c r="I292" s="1">
        <v>2.35</v>
      </c>
      <c r="J292" t="s">
        <v>65</v>
      </c>
      <c r="K292" s="1">
        <v>70</v>
      </c>
      <c r="L292" s="1">
        <v>3.3332999999999999</v>
      </c>
      <c r="M292" s="1">
        <v>14.58</v>
      </c>
      <c r="N292" s="1">
        <v>36446</v>
      </c>
      <c r="O292" t="s">
        <v>119</v>
      </c>
      <c r="P292" t="s">
        <v>890</v>
      </c>
      <c r="Q292" t="s">
        <v>68</v>
      </c>
      <c r="R292" t="s">
        <v>50</v>
      </c>
      <c r="S292" s="1">
        <v>0.19500000000000001</v>
      </c>
      <c r="T292" s="1">
        <v>88.083854430000002</v>
      </c>
      <c r="U292" s="1">
        <v>39.846750180000001</v>
      </c>
      <c r="V292" s="1">
        <v>0</v>
      </c>
      <c r="W292" s="1">
        <v>0</v>
      </c>
      <c r="X292" t="s">
        <v>50</v>
      </c>
      <c r="Y292" t="s">
        <v>50</v>
      </c>
      <c r="Z292" t="s">
        <v>50</v>
      </c>
      <c r="AA292" s="1">
        <v>1.6659999999999999</v>
      </c>
      <c r="AB292" s="1">
        <v>12.84</v>
      </c>
      <c r="AC292" t="s">
        <v>50</v>
      </c>
      <c r="AD292" t="s">
        <v>50</v>
      </c>
      <c r="AE292" t="s">
        <v>50</v>
      </c>
      <c r="AF292" t="s">
        <v>50</v>
      </c>
      <c r="AG292" s="1">
        <v>0.25</v>
      </c>
      <c r="AH292" s="1">
        <v>1.98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s="1">
        <v>3.9</v>
      </c>
      <c r="AO292" t="s">
        <v>50</v>
      </c>
      <c r="AP292" t="s">
        <v>929</v>
      </c>
      <c r="AQ292" s="1">
        <v>2565</v>
      </c>
      <c r="AR292" t="s">
        <v>70</v>
      </c>
    </row>
    <row r="293" spans="1:44">
      <c r="A293" s="1">
        <v>45151</v>
      </c>
      <c r="B293" s="1">
        <v>44737</v>
      </c>
      <c r="C293" s="1">
        <v>39781</v>
      </c>
      <c r="D293" t="s">
        <v>930</v>
      </c>
      <c r="E293" t="s">
        <v>927</v>
      </c>
      <c r="F293" t="str">
        <f>VLOOKUP(E293,Tabela2[#All],2,FALSE)</f>
        <v>Válvula Nível 4</v>
      </c>
      <c r="G293" t="s">
        <v>928</v>
      </c>
      <c r="H293" s="1">
        <v>2.34</v>
      </c>
      <c r="I293" s="1">
        <v>2.34</v>
      </c>
      <c r="J293" t="s">
        <v>65</v>
      </c>
      <c r="K293" s="1">
        <v>70</v>
      </c>
      <c r="L293" s="1">
        <v>3.3332999999999999</v>
      </c>
      <c r="M293" s="1">
        <v>14.58</v>
      </c>
      <c r="N293" s="1">
        <v>36446</v>
      </c>
      <c r="O293" t="s">
        <v>119</v>
      </c>
      <c r="P293" t="s">
        <v>890</v>
      </c>
      <c r="Q293" t="s">
        <v>68</v>
      </c>
      <c r="R293" t="s">
        <v>50</v>
      </c>
      <c r="S293" s="1">
        <v>0.19500000000000001</v>
      </c>
      <c r="T293" s="1">
        <v>90.935701330000001</v>
      </c>
      <c r="U293" s="1">
        <v>39.846750180000001</v>
      </c>
      <c r="V293" s="1">
        <v>0</v>
      </c>
      <c r="W293" s="1">
        <v>0</v>
      </c>
      <c r="X293" t="s">
        <v>50</v>
      </c>
      <c r="Y293" t="s">
        <v>50</v>
      </c>
      <c r="Z293" t="s">
        <v>50</v>
      </c>
      <c r="AA293" s="1">
        <v>1.5789</v>
      </c>
      <c r="AB293" s="1">
        <v>13.33</v>
      </c>
      <c r="AC293" t="s">
        <v>50</v>
      </c>
      <c r="AD293" t="s">
        <v>50</v>
      </c>
      <c r="AE293" t="s">
        <v>50</v>
      </c>
      <c r="AF293" t="s">
        <v>50</v>
      </c>
      <c r="AG293" s="1">
        <v>0.25</v>
      </c>
      <c r="AH293" s="1">
        <v>1.98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s="1">
        <v>3.9</v>
      </c>
      <c r="AO293" t="s">
        <v>50</v>
      </c>
      <c r="AP293" t="s">
        <v>929</v>
      </c>
      <c r="AQ293" s="1">
        <v>2565</v>
      </c>
      <c r="AR293" t="s">
        <v>70</v>
      </c>
    </row>
    <row r="294" spans="1:44">
      <c r="A294" s="1">
        <v>37374</v>
      </c>
      <c r="B294" s="1">
        <v>37775</v>
      </c>
      <c r="C294" s="1">
        <v>35144</v>
      </c>
      <c r="D294" t="s">
        <v>931</v>
      </c>
      <c r="E294" t="s">
        <v>932</v>
      </c>
      <c r="F294" t="str">
        <f>VLOOKUP(E294,Tabela2[#All],2,FALSE)</f>
        <v>BASE PEDESTAL</v>
      </c>
      <c r="G294" t="s">
        <v>933</v>
      </c>
      <c r="H294" s="1">
        <v>6.5</v>
      </c>
      <c r="I294" s="1">
        <v>6.5</v>
      </c>
      <c r="J294" t="s">
        <v>46</v>
      </c>
      <c r="K294" s="1">
        <v>57.407691999999997</v>
      </c>
      <c r="L294" s="1">
        <v>1</v>
      </c>
      <c r="M294" s="1">
        <v>13</v>
      </c>
      <c r="N294" s="1">
        <v>32958</v>
      </c>
      <c r="O294" t="s">
        <v>81</v>
      </c>
      <c r="P294" t="s">
        <v>724</v>
      </c>
      <c r="Q294" t="s">
        <v>49</v>
      </c>
      <c r="R294" t="s">
        <v>50</v>
      </c>
      <c r="S294" t="s">
        <v>50</v>
      </c>
      <c r="T294" s="1">
        <v>89.086110000000005</v>
      </c>
      <c r="U294" s="1">
        <v>50.7752111</v>
      </c>
      <c r="V294" s="1">
        <v>0</v>
      </c>
      <c r="W294" s="1">
        <v>7.7021100000000002</v>
      </c>
      <c r="X294" t="s">
        <v>50</v>
      </c>
      <c r="Y294" s="1">
        <v>0.5</v>
      </c>
      <c r="Z294" s="1">
        <v>1</v>
      </c>
      <c r="AA294" s="1">
        <v>5</v>
      </c>
      <c r="AB294" t="s">
        <v>50</v>
      </c>
      <c r="AC294" s="1">
        <v>2</v>
      </c>
      <c r="AD294" t="s">
        <v>50</v>
      </c>
      <c r="AE294" t="s">
        <v>50</v>
      </c>
      <c r="AF294" s="1">
        <v>0.79800000000000004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932</v>
      </c>
      <c r="AQ294" s="1">
        <v>1842</v>
      </c>
      <c r="AR294" t="s">
        <v>51</v>
      </c>
    </row>
    <row r="295" spans="1:44">
      <c r="A295" s="1">
        <v>44666</v>
      </c>
      <c r="B295" s="1">
        <v>37775</v>
      </c>
      <c r="C295" s="1">
        <v>35144</v>
      </c>
      <c r="D295" t="s">
        <v>934</v>
      </c>
      <c r="E295" t="s">
        <v>932</v>
      </c>
      <c r="F295" t="str">
        <f>VLOOKUP(E295,Tabela2[#All],2,FALSE)</f>
        <v>BASE PEDESTAL</v>
      </c>
      <c r="G295" t="s">
        <v>933</v>
      </c>
      <c r="H295" s="1">
        <v>6.5</v>
      </c>
      <c r="I295" s="1">
        <v>6.5</v>
      </c>
      <c r="J295" t="s">
        <v>46</v>
      </c>
      <c r="K295" s="1">
        <v>57.407691999999997</v>
      </c>
      <c r="L295" s="1">
        <v>1</v>
      </c>
      <c r="M295" s="1">
        <v>13</v>
      </c>
      <c r="N295" s="1">
        <v>32958</v>
      </c>
      <c r="O295" t="s">
        <v>81</v>
      </c>
      <c r="P295" t="s">
        <v>724</v>
      </c>
      <c r="Q295" t="s">
        <v>49</v>
      </c>
      <c r="R295" t="s">
        <v>50</v>
      </c>
      <c r="S295" t="s">
        <v>50</v>
      </c>
      <c r="T295" s="1">
        <v>93.371009999999998</v>
      </c>
      <c r="U295" s="1">
        <v>50.7752111</v>
      </c>
      <c r="V295" s="1">
        <v>0</v>
      </c>
      <c r="W295" s="1">
        <v>7.7021100000000002</v>
      </c>
      <c r="X295" t="s">
        <v>50</v>
      </c>
      <c r="Y295" s="1">
        <v>0.5</v>
      </c>
      <c r="Z295" s="1">
        <v>3.3</v>
      </c>
      <c r="AA295" s="1">
        <v>5</v>
      </c>
      <c r="AB295" t="s">
        <v>50</v>
      </c>
      <c r="AC295" s="1">
        <v>2</v>
      </c>
      <c r="AD295" t="s">
        <v>50</v>
      </c>
      <c r="AE295" t="s">
        <v>50</v>
      </c>
      <c r="AF295" s="1">
        <v>0.79800000000000004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932</v>
      </c>
      <c r="AQ295" s="1">
        <v>1842</v>
      </c>
      <c r="AR295" t="s">
        <v>51</v>
      </c>
    </row>
    <row r="296" spans="1:44">
      <c r="A296" s="1">
        <v>116196</v>
      </c>
      <c r="B296" s="1">
        <v>116195</v>
      </c>
      <c r="C296" s="1">
        <v>98595</v>
      </c>
      <c r="D296" t="s">
        <v>935</v>
      </c>
      <c r="E296" t="s">
        <v>936</v>
      </c>
      <c r="F296" t="str">
        <f>VLOOKUP(E296,Tabela2[#All],2,FALSE)</f>
        <v>ABRAÇADEIRA</v>
      </c>
      <c r="G296" t="s">
        <v>937</v>
      </c>
      <c r="H296" s="1">
        <v>0.53</v>
      </c>
      <c r="I296" s="1">
        <v>0.53</v>
      </c>
      <c r="J296" t="s">
        <v>46</v>
      </c>
      <c r="K296" s="1">
        <v>42.263427</v>
      </c>
      <c r="L296" s="1">
        <v>5</v>
      </c>
      <c r="M296" s="1">
        <v>7.82</v>
      </c>
      <c r="N296" s="1">
        <v>32958</v>
      </c>
      <c r="O296" t="s">
        <v>81</v>
      </c>
      <c r="P296" t="s">
        <v>885</v>
      </c>
      <c r="Q296" t="s">
        <v>49</v>
      </c>
      <c r="R296" t="s">
        <v>50</v>
      </c>
      <c r="S296" t="s">
        <v>50</v>
      </c>
      <c r="T296" s="1">
        <v>13.955744320000001</v>
      </c>
      <c r="U296" s="1">
        <v>8.1032969599999998</v>
      </c>
      <c r="V296" s="1">
        <v>2.05816</v>
      </c>
      <c r="W296" s="1">
        <v>0.62801819999999997</v>
      </c>
      <c r="X296" t="s">
        <v>50</v>
      </c>
      <c r="Y296" s="1">
        <v>6.2700000000000006E-2</v>
      </c>
      <c r="Z296" s="1">
        <v>1.58</v>
      </c>
      <c r="AA296" t="s">
        <v>50</v>
      </c>
      <c r="AB296" t="s">
        <v>50</v>
      </c>
      <c r="AC296" s="1">
        <v>0.36359999999999998</v>
      </c>
      <c r="AD296" t="s">
        <v>50</v>
      </c>
      <c r="AE296" t="s">
        <v>50</v>
      </c>
      <c r="AF296" s="1">
        <v>0.23330000000000001</v>
      </c>
      <c r="AG296" s="1">
        <v>8.3299999999999999E-2</v>
      </c>
      <c r="AH296" t="s">
        <v>50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938</v>
      </c>
      <c r="AQ296" s="1">
        <v>13028</v>
      </c>
      <c r="AR296" t="s">
        <v>51</v>
      </c>
    </row>
    <row r="297" spans="1:44">
      <c r="A297" s="1">
        <v>40939</v>
      </c>
      <c r="B297" s="1">
        <v>41093</v>
      </c>
      <c r="C297" s="1">
        <v>36436</v>
      </c>
      <c r="D297" t="s">
        <v>939</v>
      </c>
      <c r="E297" t="s">
        <v>940</v>
      </c>
      <c r="F297" t="str">
        <f>VLOOKUP(E297,Tabela2[#All],2,FALSE)</f>
        <v>TAÇA</v>
      </c>
      <c r="G297" t="s">
        <v>941</v>
      </c>
      <c r="H297" s="1">
        <v>4.13</v>
      </c>
      <c r="I297" s="1">
        <v>4.13</v>
      </c>
      <c r="J297" t="s">
        <v>46</v>
      </c>
      <c r="K297" s="1">
        <v>60.974274999999999</v>
      </c>
      <c r="L297" s="1">
        <v>2</v>
      </c>
      <c r="M297" s="1">
        <v>18.27</v>
      </c>
      <c r="N297" s="1">
        <v>32900</v>
      </c>
      <c r="O297" t="s">
        <v>47</v>
      </c>
      <c r="P297" t="s">
        <v>48</v>
      </c>
      <c r="Q297" t="s">
        <v>49</v>
      </c>
      <c r="R297" t="s">
        <v>50</v>
      </c>
      <c r="S297" s="1">
        <v>0.70499999999999996</v>
      </c>
      <c r="T297" s="1">
        <v>57.147097019999997</v>
      </c>
      <c r="U297" s="1">
        <v>37.944976050000001</v>
      </c>
      <c r="V297" s="1">
        <v>14.2843</v>
      </c>
      <c r="W297" s="1">
        <v>4.8938021999999997</v>
      </c>
      <c r="X297" t="s">
        <v>50</v>
      </c>
      <c r="Y297" s="1">
        <v>0.3604</v>
      </c>
      <c r="Z297" s="1">
        <v>0.4</v>
      </c>
      <c r="AA297" s="1">
        <v>3.3332000000000002</v>
      </c>
      <c r="AB297" t="s">
        <v>50</v>
      </c>
      <c r="AC297" s="1">
        <v>1.0908</v>
      </c>
      <c r="AD297" t="s">
        <v>50</v>
      </c>
      <c r="AE297" t="s">
        <v>50</v>
      </c>
      <c r="AF297" s="1">
        <v>0.45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940</v>
      </c>
      <c r="AQ297" s="1">
        <v>5067</v>
      </c>
      <c r="AR297" t="s">
        <v>51</v>
      </c>
    </row>
    <row r="298" spans="1:44">
      <c r="A298" s="1">
        <v>40942</v>
      </c>
      <c r="B298" s="1">
        <v>41140</v>
      </c>
      <c r="C298" s="1">
        <v>36439</v>
      </c>
      <c r="D298" t="s">
        <v>942</v>
      </c>
      <c r="E298" t="s">
        <v>943</v>
      </c>
      <c r="F298" t="str">
        <f>VLOOKUP(E298,Tabela2[#All],2,FALSE)</f>
        <v>TAÇA</v>
      </c>
      <c r="G298" t="s">
        <v>944</v>
      </c>
      <c r="H298" s="1">
        <v>4.96</v>
      </c>
      <c r="I298" s="1">
        <v>4.96</v>
      </c>
      <c r="J298" t="s">
        <v>46</v>
      </c>
      <c r="K298" s="1">
        <v>53.228228000000001</v>
      </c>
      <c r="L298" s="1">
        <v>2</v>
      </c>
      <c r="M298" s="1">
        <v>26.64</v>
      </c>
      <c r="N298" s="1">
        <v>32900</v>
      </c>
      <c r="O298" t="s">
        <v>47</v>
      </c>
      <c r="P298" t="s">
        <v>48</v>
      </c>
      <c r="Q298" t="s">
        <v>49</v>
      </c>
      <c r="R298" t="s">
        <v>50</v>
      </c>
      <c r="S298" t="s">
        <v>50</v>
      </c>
      <c r="T298" s="1">
        <v>84.998158700000005</v>
      </c>
      <c r="U298" s="1">
        <v>57.060030730000001</v>
      </c>
      <c r="V298" s="1">
        <v>19.2745</v>
      </c>
      <c r="W298" s="1">
        <v>5.8773023999999996</v>
      </c>
      <c r="X298" t="s">
        <v>50</v>
      </c>
      <c r="Y298" s="1">
        <v>0.49990000000000001</v>
      </c>
      <c r="Z298" s="1">
        <v>0.44440000000000002</v>
      </c>
      <c r="AA298" s="1">
        <v>4.5449999999999999</v>
      </c>
      <c r="AB298" s="1">
        <v>1.7646999999999999</v>
      </c>
      <c r="AC298" s="1">
        <v>1.1093999999999999</v>
      </c>
      <c r="AD298" t="s">
        <v>50</v>
      </c>
      <c r="AE298" t="s">
        <v>50</v>
      </c>
      <c r="AF298" s="1">
        <v>0.40500000000000003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945</v>
      </c>
      <c r="AQ298" s="1">
        <v>5467</v>
      </c>
      <c r="AR298" t="s">
        <v>51</v>
      </c>
    </row>
    <row r="299" spans="1:44">
      <c r="A299" s="1">
        <v>31756</v>
      </c>
      <c r="B299" s="1">
        <v>35666</v>
      </c>
      <c r="C299" s="1">
        <v>31096</v>
      </c>
      <c r="D299" t="s">
        <v>946</v>
      </c>
      <c r="E299" t="s">
        <v>947</v>
      </c>
      <c r="F299" t="str">
        <f>VLOOKUP(E299,Tabela2[#All],2,FALSE)</f>
        <v>TAÇA</v>
      </c>
      <c r="G299" t="s">
        <v>948</v>
      </c>
      <c r="H299" s="1">
        <v>12.17</v>
      </c>
      <c r="I299" s="1">
        <v>12.17</v>
      </c>
      <c r="J299" t="s">
        <v>46</v>
      </c>
      <c r="K299" s="1">
        <v>63.726993999999998</v>
      </c>
      <c r="L299" s="1">
        <v>1</v>
      </c>
      <c r="M299" s="1">
        <v>26.08</v>
      </c>
      <c r="N299" s="1">
        <v>32900</v>
      </c>
      <c r="O299" t="s">
        <v>47</v>
      </c>
      <c r="P299" t="s">
        <v>48</v>
      </c>
      <c r="Q299" t="s">
        <v>49</v>
      </c>
      <c r="R299" t="s">
        <v>50</v>
      </c>
      <c r="S299" t="s">
        <v>50</v>
      </c>
      <c r="T299" s="1">
        <v>176.91119370999999</v>
      </c>
      <c r="U299" s="1">
        <v>114.90333785999999</v>
      </c>
      <c r="V299" s="1">
        <v>0</v>
      </c>
      <c r="W299" s="1">
        <v>14.420719800000001</v>
      </c>
      <c r="X299" s="1">
        <v>1</v>
      </c>
      <c r="Y299" s="1">
        <v>0.64170000000000005</v>
      </c>
      <c r="Z299" t="s">
        <v>50</v>
      </c>
      <c r="AA299" s="1">
        <v>7.383</v>
      </c>
      <c r="AB299" s="1">
        <v>4.4927999999999999</v>
      </c>
      <c r="AC299" s="1">
        <v>3.3075999999999999</v>
      </c>
      <c r="AD299" t="s">
        <v>50</v>
      </c>
      <c r="AE299" t="s">
        <v>50</v>
      </c>
      <c r="AF299" s="1">
        <v>0.999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949</v>
      </c>
      <c r="AQ299" s="1">
        <v>5007</v>
      </c>
      <c r="AR299" t="s">
        <v>51</v>
      </c>
    </row>
    <row r="300" spans="1:44">
      <c r="A300" s="1">
        <v>31758</v>
      </c>
      <c r="B300" s="1">
        <v>35683</v>
      </c>
      <c r="C300" s="1">
        <v>31098</v>
      </c>
      <c r="D300" t="s">
        <v>950</v>
      </c>
      <c r="E300" t="s">
        <v>951</v>
      </c>
      <c r="F300" t="str">
        <f>VLOOKUP(E300,Tabela2[#All],2,FALSE)</f>
        <v>TAÇA</v>
      </c>
      <c r="G300" t="s">
        <v>952</v>
      </c>
      <c r="H300" s="1">
        <v>7.56</v>
      </c>
      <c r="I300" s="1">
        <v>7.56</v>
      </c>
      <c r="J300" t="s">
        <v>46</v>
      </c>
      <c r="K300" s="1">
        <v>58.894646000000002</v>
      </c>
      <c r="L300" s="1">
        <v>1</v>
      </c>
      <c r="M300" s="1">
        <v>17.37</v>
      </c>
      <c r="N300" s="1">
        <v>32900</v>
      </c>
      <c r="O300" t="s">
        <v>47</v>
      </c>
      <c r="P300" t="s">
        <v>48</v>
      </c>
      <c r="Q300" t="s">
        <v>49</v>
      </c>
      <c r="R300" t="s">
        <v>50</v>
      </c>
      <c r="S300" t="s">
        <v>50</v>
      </c>
      <c r="T300" s="1">
        <v>110.67774737000001</v>
      </c>
      <c r="U300" s="1">
        <v>73.847679260000007</v>
      </c>
      <c r="V300" s="1">
        <v>26.788499999999999</v>
      </c>
      <c r="W300" s="1">
        <v>8.9581464000000004</v>
      </c>
      <c r="X300" t="s">
        <v>50</v>
      </c>
      <c r="Y300" s="1">
        <v>0.41420000000000001</v>
      </c>
      <c r="Z300" t="s">
        <v>50</v>
      </c>
      <c r="AA300" s="1">
        <v>4.4169</v>
      </c>
      <c r="AB300" s="1">
        <v>2.2222</v>
      </c>
      <c r="AC300" s="1">
        <v>1.6</v>
      </c>
      <c r="AD300" t="s">
        <v>50</v>
      </c>
      <c r="AE300" t="s">
        <v>50</v>
      </c>
      <c r="AF300" s="1">
        <v>0.81810000000000005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953</v>
      </c>
      <c r="AQ300" s="1">
        <v>4967</v>
      </c>
      <c r="AR300" t="s">
        <v>51</v>
      </c>
    </row>
    <row r="301" spans="1:44">
      <c r="A301" s="1">
        <v>40944</v>
      </c>
      <c r="B301" s="1">
        <v>41153</v>
      </c>
      <c r="C301" s="1">
        <v>36441</v>
      </c>
      <c r="D301" t="s">
        <v>954</v>
      </c>
      <c r="E301" t="s">
        <v>955</v>
      </c>
      <c r="F301" t="str">
        <f>VLOOKUP(E301,Tabela2[#All],2,FALSE)</f>
        <v>TAÇA</v>
      </c>
      <c r="G301" t="s">
        <v>956</v>
      </c>
      <c r="H301" s="1">
        <v>5.87</v>
      </c>
      <c r="I301" s="1">
        <v>5.87</v>
      </c>
      <c r="J301" t="s">
        <v>46</v>
      </c>
      <c r="K301" s="1">
        <v>61.850444000000003</v>
      </c>
      <c r="L301" s="1">
        <v>2</v>
      </c>
      <c r="M301" s="1">
        <v>23.67</v>
      </c>
      <c r="N301" s="1">
        <v>32900</v>
      </c>
      <c r="O301" t="s">
        <v>47</v>
      </c>
      <c r="P301" t="s">
        <v>48</v>
      </c>
      <c r="Q301" t="s">
        <v>49</v>
      </c>
      <c r="R301" t="s">
        <v>50</v>
      </c>
      <c r="S301" t="s">
        <v>50</v>
      </c>
      <c r="T301" s="1">
        <v>73.655594669999999</v>
      </c>
      <c r="U301" s="1">
        <v>43.947721770000001</v>
      </c>
      <c r="V301" s="1">
        <v>18.84</v>
      </c>
      <c r="W301" s="1">
        <v>6.9555977999999996</v>
      </c>
      <c r="X301" t="s">
        <v>50</v>
      </c>
      <c r="Y301" s="1">
        <v>0.33629999999999999</v>
      </c>
      <c r="Z301" s="1">
        <v>0.42249999999999999</v>
      </c>
      <c r="AA301" s="1">
        <v>4.2998000000000003</v>
      </c>
      <c r="AB301" t="s">
        <v>50</v>
      </c>
      <c r="AC301" s="1">
        <v>2</v>
      </c>
      <c r="AD301" t="s">
        <v>50</v>
      </c>
      <c r="AE301" t="s">
        <v>50</v>
      </c>
      <c r="AF301" s="1">
        <v>0.40500000000000003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955</v>
      </c>
      <c r="AQ301" s="1">
        <v>2073</v>
      </c>
      <c r="AR301" t="s">
        <v>51</v>
      </c>
    </row>
    <row r="302" spans="1:44">
      <c r="A302" s="1">
        <v>40946</v>
      </c>
      <c r="B302" s="1">
        <v>41224</v>
      </c>
      <c r="C302" s="1">
        <v>36444</v>
      </c>
      <c r="D302" t="s">
        <v>957</v>
      </c>
      <c r="E302" t="s">
        <v>958</v>
      </c>
      <c r="F302" t="str">
        <f>VLOOKUP(E302,Tabela2[#All],2,FALSE)</f>
        <v>TAÇA</v>
      </c>
      <c r="G302" t="s">
        <v>959</v>
      </c>
      <c r="H302" s="1">
        <v>3.32</v>
      </c>
      <c r="I302" s="1">
        <v>3.32</v>
      </c>
      <c r="J302" t="s">
        <v>46</v>
      </c>
      <c r="K302" s="1">
        <v>48.977395000000001</v>
      </c>
      <c r="L302" s="1">
        <v>2</v>
      </c>
      <c r="M302" s="1">
        <v>18.579999999999998</v>
      </c>
      <c r="N302" s="1">
        <v>32900</v>
      </c>
      <c r="O302" t="s">
        <v>47</v>
      </c>
      <c r="P302" t="s">
        <v>48</v>
      </c>
      <c r="Q302" t="s">
        <v>49</v>
      </c>
      <c r="R302" t="s">
        <v>50</v>
      </c>
      <c r="S302" t="s">
        <v>50</v>
      </c>
      <c r="T302" s="1">
        <v>52.606669459999999</v>
      </c>
      <c r="U302" s="1">
        <v>33.408984910000001</v>
      </c>
      <c r="V302" s="1">
        <v>12.779500000000001</v>
      </c>
      <c r="W302" s="1">
        <v>3.9340008000000002</v>
      </c>
      <c r="X302" t="s">
        <v>50</v>
      </c>
      <c r="Y302" s="1">
        <v>0.23050000000000001</v>
      </c>
      <c r="Z302" s="1">
        <v>0.43</v>
      </c>
      <c r="AA302" s="1">
        <v>4.5999999999999996</v>
      </c>
      <c r="AB302" t="s">
        <v>50</v>
      </c>
      <c r="AC302" s="1">
        <v>0.72719999999999996</v>
      </c>
      <c r="AD302" t="s">
        <v>50</v>
      </c>
      <c r="AE302" t="s">
        <v>50</v>
      </c>
      <c r="AF302" s="1">
        <v>0.39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958</v>
      </c>
      <c r="AQ302" s="1">
        <v>1934</v>
      </c>
      <c r="AR302" t="s">
        <v>51</v>
      </c>
    </row>
    <row r="303" spans="1:44">
      <c r="A303" s="1">
        <v>40370</v>
      </c>
      <c r="B303" s="1">
        <v>40525</v>
      </c>
      <c r="C303" s="1">
        <v>35857</v>
      </c>
      <c r="D303" t="s">
        <v>960</v>
      </c>
      <c r="E303" t="s">
        <v>961</v>
      </c>
      <c r="F303" t="str">
        <f>VLOOKUP(E303,Tabela2[#All],2,FALSE)</f>
        <v>TAÇA</v>
      </c>
      <c r="G303" t="s">
        <v>962</v>
      </c>
      <c r="H303" s="1">
        <v>5.91</v>
      </c>
      <c r="I303" s="1">
        <v>5.91</v>
      </c>
      <c r="J303" t="s">
        <v>46</v>
      </c>
      <c r="K303" s="1">
        <v>61.850444000000003</v>
      </c>
      <c r="L303" s="1">
        <v>2</v>
      </c>
      <c r="M303" s="1">
        <v>23.67</v>
      </c>
      <c r="N303" s="1">
        <v>32900</v>
      </c>
      <c r="O303" t="s">
        <v>47</v>
      </c>
      <c r="P303" t="s">
        <v>48</v>
      </c>
      <c r="Q303" t="s">
        <v>49</v>
      </c>
      <c r="R303" t="s">
        <v>50</v>
      </c>
      <c r="S303" t="s">
        <v>50</v>
      </c>
      <c r="T303" s="1">
        <v>77.611089530000001</v>
      </c>
      <c r="U303" s="1">
        <v>43.947721770000001</v>
      </c>
      <c r="V303" s="1">
        <v>18.84</v>
      </c>
      <c r="W303" s="1">
        <v>7.0029953999999996</v>
      </c>
      <c r="X303" t="s">
        <v>50</v>
      </c>
      <c r="Y303" s="1">
        <v>0.27260000000000001</v>
      </c>
      <c r="Z303" s="1">
        <v>0.42249999999999999</v>
      </c>
      <c r="AA303" s="1">
        <v>6.2845000000000004</v>
      </c>
      <c r="AB303" t="s">
        <v>50</v>
      </c>
      <c r="AC303" s="1">
        <v>1.0908</v>
      </c>
      <c r="AD303" t="s">
        <v>50</v>
      </c>
      <c r="AE303" t="s">
        <v>50</v>
      </c>
      <c r="AF303" s="1">
        <v>0.40500000000000003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961</v>
      </c>
      <c r="AQ303" s="1">
        <v>1891</v>
      </c>
      <c r="AR303" t="s">
        <v>51</v>
      </c>
    </row>
    <row r="304" spans="1:44">
      <c r="A304" s="1">
        <v>31730</v>
      </c>
      <c r="B304" s="1">
        <v>37853</v>
      </c>
      <c r="C304" s="1">
        <v>31070</v>
      </c>
      <c r="D304" t="s">
        <v>963</v>
      </c>
      <c r="E304" t="s">
        <v>964</v>
      </c>
      <c r="F304" t="str">
        <f>VLOOKUP(E304,Tabela2[#All],2,FALSE)</f>
        <v>TAÇA</v>
      </c>
      <c r="G304" t="s">
        <v>965</v>
      </c>
      <c r="H304" s="1">
        <v>5.51</v>
      </c>
      <c r="I304" s="1">
        <v>5.51</v>
      </c>
      <c r="J304" t="s">
        <v>46</v>
      </c>
      <c r="K304" s="1">
        <v>56.936169999999997</v>
      </c>
      <c r="L304" s="1">
        <v>2</v>
      </c>
      <c r="M304" s="1">
        <v>23.5</v>
      </c>
      <c r="N304" s="1">
        <v>32900</v>
      </c>
      <c r="O304" t="s">
        <v>47</v>
      </c>
      <c r="P304" t="s">
        <v>48</v>
      </c>
      <c r="Q304" t="s">
        <v>49</v>
      </c>
      <c r="R304" t="s">
        <v>50</v>
      </c>
      <c r="S304" t="s">
        <v>50</v>
      </c>
      <c r="T304" s="1">
        <v>71.359683419999996</v>
      </c>
      <c r="U304" s="1">
        <v>41.673189809999997</v>
      </c>
      <c r="V304" s="1">
        <v>0</v>
      </c>
      <c r="W304" s="1">
        <v>6.5290194000000001</v>
      </c>
      <c r="X304" t="s">
        <v>50</v>
      </c>
      <c r="Y304" s="1">
        <v>0.33629999999999999</v>
      </c>
      <c r="Z304" s="1">
        <v>0.6</v>
      </c>
      <c r="AA304" s="1">
        <v>4.3116000000000003</v>
      </c>
      <c r="AB304" t="s">
        <v>50</v>
      </c>
      <c r="AC304" s="1">
        <v>1.6</v>
      </c>
      <c r="AD304" t="s">
        <v>50</v>
      </c>
      <c r="AE304" t="s">
        <v>50</v>
      </c>
      <c r="AF304" s="1">
        <v>0.375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964</v>
      </c>
      <c r="AQ304" s="1">
        <v>1843</v>
      </c>
      <c r="AR304" t="s">
        <v>51</v>
      </c>
    </row>
    <row r="305" spans="1:44">
      <c r="A305" s="1">
        <v>116211</v>
      </c>
      <c r="B305" s="1">
        <v>116210</v>
      </c>
      <c r="C305" s="1">
        <v>98612</v>
      </c>
      <c r="D305" t="s">
        <v>966</v>
      </c>
      <c r="E305" t="s">
        <v>967</v>
      </c>
      <c r="F305" t="str">
        <f>VLOOKUP(E305,Tabela2[#All],2,FALSE)</f>
        <v>GRAMPO</v>
      </c>
      <c r="G305" t="s">
        <v>968</v>
      </c>
      <c r="H305" s="1">
        <v>0.43</v>
      </c>
      <c r="I305" s="1">
        <v>0.43</v>
      </c>
      <c r="J305" t="s">
        <v>46</v>
      </c>
      <c r="K305" s="1">
        <v>56.521738999999997</v>
      </c>
      <c r="L305" s="1">
        <v>12</v>
      </c>
      <c r="M305" s="1">
        <v>11.04</v>
      </c>
      <c r="N305" s="1">
        <v>32958</v>
      </c>
      <c r="O305" t="s">
        <v>81</v>
      </c>
      <c r="P305" t="s">
        <v>885</v>
      </c>
      <c r="Q305" t="s">
        <v>49</v>
      </c>
      <c r="R305" t="s">
        <v>50</v>
      </c>
      <c r="S305" t="s">
        <v>50</v>
      </c>
      <c r="T305" s="1">
        <v>9.8890031100000009</v>
      </c>
      <c r="U305" s="1">
        <v>4.8826433299999996</v>
      </c>
      <c r="V305" s="1">
        <v>2.1465999999999998</v>
      </c>
      <c r="W305" s="1">
        <v>0.50952419999999998</v>
      </c>
      <c r="X305" t="s">
        <v>50</v>
      </c>
      <c r="Y305" s="1">
        <v>6.2700000000000006E-2</v>
      </c>
      <c r="Z305" s="1">
        <v>1.41</v>
      </c>
      <c r="AA305" t="s">
        <v>50</v>
      </c>
      <c r="AB305" t="s">
        <v>50</v>
      </c>
      <c r="AC305" s="1">
        <v>0.36359999999999998</v>
      </c>
      <c r="AD305" t="s">
        <v>50</v>
      </c>
      <c r="AE305" t="s">
        <v>50</v>
      </c>
      <c r="AF305" s="1">
        <v>6.2498999999999999E-2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969</v>
      </c>
      <c r="AQ305" s="1">
        <v>13047</v>
      </c>
      <c r="AR305" t="s">
        <v>51</v>
      </c>
    </row>
    <row r="306" spans="1:44">
      <c r="A306" s="1">
        <v>118271</v>
      </c>
      <c r="B306" s="1">
        <v>118273</v>
      </c>
      <c r="C306" s="1">
        <v>100614</v>
      </c>
      <c r="D306" t="s">
        <v>970</v>
      </c>
      <c r="E306" t="s">
        <v>971</v>
      </c>
      <c r="F306" t="str">
        <f>VLOOKUP(E306,Tabela2[#All],2,FALSE)</f>
        <v xml:space="preserve">INSERTO </v>
      </c>
      <c r="G306" t="s">
        <v>972</v>
      </c>
      <c r="H306" s="1">
        <v>0.21</v>
      </c>
      <c r="I306" s="1">
        <v>0.21</v>
      </c>
      <c r="J306" t="s">
        <v>46</v>
      </c>
      <c r="K306" s="1">
        <v>61.847389999999997</v>
      </c>
      <c r="L306" s="1">
        <v>28</v>
      </c>
      <c r="M306" s="1">
        <v>9.9600000000000009</v>
      </c>
      <c r="N306" s="1">
        <v>32958</v>
      </c>
      <c r="O306" t="s">
        <v>81</v>
      </c>
      <c r="P306" t="s">
        <v>973</v>
      </c>
      <c r="Q306" t="s">
        <v>49</v>
      </c>
      <c r="R306" t="s">
        <v>50</v>
      </c>
      <c r="S306" t="s">
        <v>50</v>
      </c>
      <c r="T306" s="1">
        <v>0.11051519999999999</v>
      </c>
      <c r="U306" s="1">
        <v>1.29116337</v>
      </c>
      <c r="V306" s="1">
        <v>0.58513928571428575</v>
      </c>
      <c r="W306" s="1">
        <v>0</v>
      </c>
      <c r="X306" t="s">
        <v>50</v>
      </c>
      <c r="Y306" s="1">
        <v>1.8800000000000001E-2</v>
      </c>
      <c r="Z306" t="s">
        <v>50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s="1">
        <v>2.58E-2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974</v>
      </c>
      <c r="AQ306" s="1">
        <v>13627</v>
      </c>
      <c r="AR306" t="s">
        <v>51</v>
      </c>
    </row>
    <row r="307" spans="1:44">
      <c r="A307" s="1">
        <v>118173</v>
      </c>
      <c r="B307" s="1">
        <v>118172</v>
      </c>
      <c r="C307" s="1">
        <v>100553</v>
      </c>
      <c r="D307" t="s">
        <v>975</v>
      </c>
      <c r="E307" t="s">
        <v>976</v>
      </c>
      <c r="F307" t="str">
        <f>VLOOKUP(E307,Tabela2[#All],2,FALSE)</f>
        <v>BASE TAÇA</v>
      </c>
      <c r="G307" t="s">
        <v>977</v>
      </c>
      <c r="H307" s="1">
        <v>3.2</v>
      </c>
      <c r="I307" s="1">
        <v>3.2</v>
      </c>
      <c r="J307" t="s">
        <v>46</v>
      </c>
      <c r="K307" s="1">
        <v>55.857253999999998</v>
      </c>
      <c r="L307" s="1">
        <v>2</v>
      </c>
      <c r="M307" s="1">
        <v>12.89</v>
      </c>
      <c r="N307" s="1">
        <v>32958</v>
      </c>
      <c r="O307" t="s">
        <v>81</v>
      </c>
      <c r="P307" t="s">
        <v>978</v>
      </c>
      <c r="Q307" t="s">
        <v>49</v>
      </c>
      <c r="R307" t="s">
        <v>50</v>
      </c>
      <c r="S307" t="s">
        <v>50</v>
      </c>
      <c r="T307" s="1">
        <v>40.768221740000001</v>
      </c>
      <c r="U307" s="1">
        <v>23.89653599</v>
      </c>
      <c r="V307" s="1">
        <v>9.9532500000000006</v>
      </c>
      <c r="W307" s="1">
        <v>3.7918080000000001</v>
      </c>
      <c r="X307" s="1">
        <v>0.35</v>
      </c>
      <c r="Y307" s="1">
        <v>0.27</v>
      </c>
      <c r="Z307" s="1">
        <v>0.5</v>
      </c>
      <c r="AA307" s="1">
        <v>1.5</v>
      </c>
      <c r="AB307" t="s">
        <v>50</v>
      </c>
      <c r="AC307" s="1">
        <v>1.0908</v>
      </c>
      <c r="AD307" t="s">
        <v>50</v>
      </c>
      <c r="AE307" t="s">
        <v>50</v>
      </c>
      <c r="AF307" s="1">
        <v>0.33849899999999999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979</v>
      </c>
      <c r="AQ307" s="1">
        <v>13567</v>
      </c>
      <c r="AR307" t="s">
        <v>51</v>
      </c>
    </row>
    <row r="308" spans="1:44">
      <c r="A308" s="1">
        <v>97567</v>
      </c>
      <c r="B308" s="1">
        <v>97569</v>
      </c>
      <c r="C308" s="1">
        <v>89185</v>
      </c>
      <c r="D308" t="s">
        <v>980</v>
      </c>
      <c r="E308" t="s">
        <v>981</v>
      </c>
      <c r="F308" t="str">
        <f>VLOOKUP(E308,Tabela2[#All],2,FALSE)</f>
        <v>BASE TAÇA</v>
      </c>
      <c r="G308" t="s">
        <v>982</v>
      </c>
      <c r="H308" s="1">
        <v>0.7</v>
      </c>
      <c r="I308" s="1">
        <v>0.7</v>
      </c>
      <c r="J308" t="s">
        <v>46</v>
      </c>
      <c r="K308" s="1">
        <v>51.84</v>
      </c>
      <c r="L308" s="1">
        <v>8</v>
      </c>
      <c r="M308" s="1">
        <v>12.5</v>
      </c>
      <c r="N308" s="1">
        <v>32958</v>
      </c>
      <c r="O308" t="s">
        <v>81</v>
      </c>
      <c r="P308" t="s">
        <v>978</v>
      </c>
      <c r="Q308" t="s">
        <v>49</v>
      </c>
      <c r="R308" t="s">
        <v>50</v>
      </c>
      <c r="S308" t="s">
        <v>50</v>
      </c>
      <c r="T308" s="1">
        <v>9.9809813900000002</v>
      </c>
      <c r="U308" s="1">
        <v>5.1495126500000001</v>
      </c>
      <c r="V308" s="1">
        <v>2.3075749999999999</v>
      </c>
      <c r="W308" s="1">
        <v>0.82945800000000003</v>
      </c>
      <c r="X308" t="s">
        <v>50</v>
      </c>
      <c r="Y308" s="1">
        <v>5.7500000000000002E-2</v>
      </c>
      <c r="Z308" t="s">
        <v>50</v>
      </c>
      <c r="AA308" s="1">
        <v>1.2454000000000001</v>
      </c>
      <c r="AB308" t="s">
        <v>50</v>
      </c>
      <c r="AC308" s="1">
        <v>0.218</v>
      </c>
      <c r="AD308" t="s">
        <v>50</v>
      </c>
      <c r="AE308" t="s">
        <v>50</v>
      </c>
      <c r="AF308" s="1">
        <v>8.6400000000000005E-2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983</v>
      </c>
      <c r="AQ308" s="1">
        <v>10388</v>
      </c>
      <c r="AR308" t="s">
        <v>51</v>
      </c>
    </row>
    <row r="309" spans="1:44">
      <c r="A309" s="1">
        <v>93095</v>
      </c>
      <c r="B309" s="1">
        <v>93097</v>
      </c>
      <c r="C309" s="1">
        <v>84890</v>
      </c>
      <c r="D309" t="s">
        <v>984</v>
      </c>
      <c r="E309" t="s">
        <v>985</v>
      </c>
      <c r="F309" t="str">
        <f>VLOOKUP(E309,Tabela2[#All],2,FALSE)</f>
        <v>FLANGE TAÇA</v>
      </c>
      <c r="G309" t="s">
        <v>986</v>
      </c>
      <c r="H309" s="1">
        <v>2.802</v>
      </c>
      <c r="I309" s="1">
        <v>2.802</v>
      </c>
      <c r="J309" t="s">
        <v>46</v>
      </c>
      <c r="K309" s="1">
        <v>49.045073000000002</v>
      </c>
      <c r="L309" s="1">
        <v>2</v>
      </c>
      <c r="M309" s="1">
        <v>13.09</v>
      </c>
      <c r="N309" s="1">
        <v>32958</v>
      </c>
      <c r="O309" t="s">
        <v>81</v>
      </c>
      <c r="P309" t="s">
        <v>978</v>
      </c>
      <c r="Q309" t="s">
        <v>49</v>
      </c>
      <c r="R309" t="s">
        <v>50</v>
      </c>
      <c r="S309" t="s">
        <v>50</v>
      </c>
      <c r="T309" s="1">
        <v>38.22180951</v>
      </c>
      <c r="U309" s="1">
        <v>23.2948351</v>
      </c>
      <c r="V309" s="1">
        <v>0</v>
      </c>
      <c r="W309" s="1">
        <v>3.3202018799999999</v>
      </c>
      <c r="X309" t="s">
        <v>50</v>
      </c>
      <c r="Y309" s="1">
        <v>0.21329999999999999</v>
      </c>
      <c r="Z309" s="1">
        <v>0.5</v>
      </c>
      <c r="AA309" s="1">
        <v>1.1673</v>
      </c>
      <c r="AB309" t="s">
        <v>50</v>
      </c>
      <c r="AC309" s="1">
        <v>1.0908</v>
      </c>
      <c r="AD309" t="s">
        <v>50</v>
      </c>
      <c r="AE309" t="s">
        <v>50</v>
      </c>
      <c r="AF309" s="1">
        <v>0.40920000000000001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987</v>
      </c>
      <c r="AQ309" s="1">
        <v>9507</v>
      </c>
      <c r="AR309" t="s">
        <v>51</v>
      </c>
    </row>
    <row r="310" spans="1:44">
      <c r="A310" s="1">
        <v>94358</v>
      </c>
      <c r="B310" s="1">
        <v>115887</v>
      </c>
      <c r="C310" s="1">
        <v>86114</v>
      </c>
      <c r="D310" t="s">
        <v>988</v>
      </c>
      <c r="E310" t="s">
        <v>989</v>
      </c>
      <c r="F310" t="str">
        <f>VLOOKUP(E310,Tabela2[#All],2,FALSE)</f>
        <v>BASE TAÇA</v>
      </c>
      <c r="G310" t="s">
        <v>990</v>
      </c>
      <c r="H310" s="1">
        <v>0.71</v>
      </c>
      <c r="I310" s="1">
        <v>0.71</v>
      </c>
      <c r="J310" t="s">
        <v>46</v>
      </c>
      <c r="K310" s="1">
        <v>49.935650000000003</v>
      </c>
      <c r="L310" s="1">
        <v>8</v>
      </c>
      <c r="M310" s="1">
        <v>15.54</v>
      </c>
      <c r="N310" s="1">
        <v>32958</v>
      </c>
      <c r="O310" t="s">
        <v>81</v>
      </c>
      <c r="P310" t="s">
        <v>978</v>
      </c>
      <c r="Q310" t="s">
        <v>49</v>
      </c>
      <c r="R310" t="s">
        <v>50</v>
      </c>
      <c r="S310" t="s">
        <v>50</v>
      </c>
      <c r="T310" s="1">
        <v>13.17322019</v>
      </c>
      <c r="U310" s="1">
        <v>8.2186011400000005</v>
      </c>
      <c r="V310" s="1">
        <v>2.8066374999999999</v>
      </c>
      <c r="W310" s="1">
        <v>0.84130740000000004</v>
      </c>
      <c r="X310" t="s">
        <v>50</v>
      </c>
      <c r="Y310" s="1">
        <v>6.2399999999999997E-2</v>
      </c>
      <c r="Z310" t="s">
        <v>50</v>
      </c>
      <c r="AA310" s="1">
        <v>1.3660000000000001</v>
      </c>
      <c r="AB310" t="s">
        <v>50</v>
      </c>
      <c r="AC310" s="1">
        <v>0.218</v>
      </c>
      <c r="AD310" t="s">
        <v>50</v>
      </c>
      <c r="AE310" t="s">
        <v>50</v>
      </c>
      <c r="AF310" s="1">
        <v>0.21709999999999999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991</v>
      </c>
      <c r="AQ310" s="1">
        <v>12927</v>
      </c>
      <c r="AR310" t="s">
        <v>51</v>
      </c>
    </row>
    <row r="311" spans="1:44">
      <c r="A311" s="1">
        <v>71480</v>
      </c>
      <c r="B311" s="1">
        <v>71481</v>
      </c>
      <c r="C311" s="1">
        <v>64869</v>
      </c>
      <c r="D311" t="s">
        <v>992</v>
      </c>
      <c r="E311" t="s">
        <v>993</v>
      </c>
      <c r="F311" t="str">
        <f>VLOOKUP(E311,Tabela2[#All],2,FALSE)</f>
        <v>TERMINAL GARFO</v>
      </c>
      <c r="G311" t="s">
        <v>994</v>
      </c>
      <c r="H311" s="1">
        <v>0.23</v>
      </c>
      <c r="I311" s="1">
        <v>0.23</v>
      </c>
      <c r="J311" t="s">
        <v>46</v>
      </c>
      <c r="K311" s="1">
        <v>52.953812999999997</v>
      </c>
      <c r="L311" s="1">
        <v>17</v>
      </c>
      <c r="M311" s="1">
        <v>9.31</v>
      </c>
      <c r="N311" s="1">
        <v>32958</v>
      </c>
      <c r="O311" t="s">
        <v>81</v>
      </c>
      <c r="P311" t="s">
        <v>978</v>
      </c>
      <c r="Q311" t="s">
        <v>49</v>
      </c>
      <c r="R311" t="s">
        <v>50</v>
      </c>
      <c r="S311" t="s">
        <v>50</v>
      </c>
      <c r="T311" s="1">
        <v>5.51340202</v>
      </c>
      <c r="U311" s="1">
        <v>2.1552290599999999</v>
      </c>
      <c r="V311" s="1">
        <v>0.81904117647058827</v>
      </c>
      <c r="W311" s="1">
        <v>0.27253620000000001</v>
      </c>
      <c r="X311" t="s">
        <v>50</v>
      </c>
      <c r="Y311" s="1">
        <v>3.0300000000000001E-2</v>
      </c>
      <c r="Z311" t="s">
        <v>50</v>
      </c>
      <c r="AA311" s="1">
        <v>0.79930000000000001</v>
      </c>
      <c r="AB311" t="s">
        <v>50</v>
      </c>
      <c r="AC311" s="1">
        <v>0.219</v>
      </c>
      <c r="AD311" t="s">
        <v>50</v>
      </c>
      <c r="AE311" t="s">
        <v>50</v>
      </c>
      <c r="AF311" s="1">
        <v>4.0722000000000001E-2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995</v>
      </c>
      <c r="AQ311" s="1">
        <v>6807</v>
      </c>
      <c r="AR311" t="s">
        <v>51</v>
      </c>
    </row>
    <row r="312" spans="1:44">
      <c r="A312" s="1">
        <v>71500</v>
      </c>
      <c r="B312" s="1">
        <v>71501</v>
      </c>
      <c r="C312" s="1">
        <v>64889</v>
      </c>
      <c r="D312" t="s">
        <v>996</v>
      </c>
      <c r="E312" t="s">
        <v>997</v>
      </c>
      <c r="F312" t="str">
        <f>VLOOKUP(E312,Tabela2[#All],2,FALSE)</f>
        <v>TERMINAL OLHAL</v>
      </c>
      <c r="G312" t="s">
        <v>998</v>
      </c>
      <c r="H312" s="1">
        <v>0.2</v>
      </c>
      <c r="I312" s="1">
        <v>0.2</v>
      </c>
      <c r="J312" t="s">
        <v>46</v>
      </c>
      <c r="K312" s="1">
        <v>44.431818</v>
      </c>
      <c r="L312" s="1">
        <v>17</v>
      </c>
      <c r="M312" s="1">
        <v>8.8000000000000007</v>
      </c>
      <c r="N312" s="1">
        <v>32958</v>
      </c>
      <c r="O312" t="s">
        <v>81</v>
      </c>
      <c r="P312" t="s">
        <v>978</v>
      </c>
      <c r="Q312" t="s">
        <v>49</v>
      </c>
      <c r="R312" t="s">
        <v>50</v>
      </c>
      <c r="S312" t="s">
        <v>50</v>
      </c>
      <c r="T312" s="1">
        <v>4.6543262399999996</v>
      </c>
      <c r="U312" s="1">
        <v>1.81521007</v>
      </c>
      <c r="V312" s="1">
        <v>0.70006470588235292</v>
      </c>
      <c r="W312" s="1">
        <v>0.236988</v>
      </c>
      <c r="X312" t="s">
        <v>50</v>
      </c>
      <c r="Y312" s="1">
        <v>0.03</v>
      </c>
      <c r="Z312" s="1">
        <v>9.2499999999999999E-2</v>
      </c>
      <c r="AA312" s="1">
        <v>0.66659999999999997</v>
      </c>
      <c r="AB312" t="s">
        <v>50</v>
      </c>
      <c r="AC312" s="1">
        <v>0.19400000000000001</v>
      </c>
      <c r="AD312" t="s">
        <v>50</v>
      </c>
      <c r="AE312" t="s">
        <v>50</v>
      </c>
      <c r="AF312" s="1">
        <v>4.0722000000000001E-2</v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999</v>
      </c>
      <c r="AQ312" s="1">
        <v>6808</v>
      </c>
      <c r="AR312" t="s">
        <v>51</v>
      </c>
    </row>
    <row r="313" spans="1:44">
      <c r="A313" s="1">
        <v>119813</v>
      </c>
      <c r="B313" s="1">
        <v>119812</v>
      </c>
      <c r="C313" s="1">
        <v>102053</v>
      </c>
      <c r="D313" t="s">
        <v>1000</v>
      </c>
      <c r="E313" t="s">
        <v>1001</v>
      </c>
      <c r="F313" t="str">
        <f>VLOOKUP(E313,Tabela2[#All],2,FALSE)</f>
        <v>TERMINAL GARFO</v>
      </c>
      <c r="G313" t="s">
        <v>1002</v>
      </c>
      <c r="H313" s="1">
        <v>0.222</v>
      </c>
      <c r="I313" s="1">
        <v>0.222</v>
      </c>
      <c r="J313" t="s">
        <v>46</v>
      </c>
      <c r="K313" s="1">
        <v>53.006681999999998</v>
      </c>
      <c r="L313" s="1">
        <v>17</v>
      </c>
      <c r="M313" s="1">
        <v>8.98</v>
      </c>
      <c r="N313" s="1">
        <v>32958</v>
      </c>
      <c r="O313" t="s">
        <v>81</v>
      </c>
      <c r="P313" t="s">
        <v>978</v>
      </c>
      <c r="Q313" t="s">
        <v>49</v>
      </c>
      <c r="R313" t="s">
        <v>50</v>
      </c>
      <c r="S313" t="s">
        <v>50</v>
      </c>
      <c r="T313" s="1">
        <v>4.5480173800000001</v>
      </c>
      <c r="U313" s="1">
        <v>2.1292112799999998</v>
      </c>
      <c r="V313" s="1">
        <v>0.79047647058823534</v>
      </c>
      <c r="W313" s="1">
        <v>0.26305667999999999</v>
      </c>
      <c r="X313" t="s">
        <v>50</v>
      </c>
      <c r="Y313" s="1">
        <v>3.0300000000000001E-2</v>
      </c>
      <c r="Z313" t="s">
        <v>50</v>
      </c>
      <c r="AA313" s="1">
        <v>0.2301</v>
      </c>
      <c r="AB313" t="s">
        <v>50</v>
      </c>
      <c r="AC313" s="1">
        <v>0.219</v>
      </c>
      <c r="AD313" t="s">
        <v>50</v>
      </c>
      <c r="AE313" t="s">
        <v>50</v>
      </c>
      <c r="AF313" s="1">
        <v>3.9204000000000003E-2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1003</v>
      </c>
      <c r="AQ313" s="1">
        <v>14327</v>
      </c>
      <c r="AR313" t="s">
        <v>51</v>
      </c>
    </row>
    <row r="314" spans="1:44">
      <c r="A314" s="1">
        <v>119877</v>
      </c>
      <c r="B314" s="1">
        <v>119876</v>
      </c>
      <c r="C314" s="1">
        <v>102097</v>
      </c>
      <c r="D314" t="s">
        <v>1004</v>
      </c>
      <c r="E314" t="s">
        <v>1005</v>
      </c>
      <c r="F314" t="str">
        <f>VLOOKUP(E314,Tabela2[#All],2,FALSE)</f>
        <v>TERMINAL OLHAL</v>
      </c>
      <c r="G314" t="s">
        <v>1006</v>
      </c>
      <c r="H314" s="1">
        <v>0.182</v>
      </c>
      <c r="I314" s="1">
        <v>0.182</v>
      </c>
      <c r="J314" t="s">
        <v>46</v>
      </c>
      <c r="K314" s="1">
        <v>51.583112999999997</v>
      </c>
      <c r="L314" s="1">
        <v>17</v>
      </c>
      <c r="M314" s="1">
        <v>7.58</v>
      </c>
      <c r="N314" s="1">
        <v>32958</v>
      </c>
      <c r="O314" t="s">
        <v>81</v>
      </c>
      <c r="P314" t="s">
        <v>978</v>
      </c>
      <c r="Q314" t="s">
        <v>49</v>
      </c>
      <c r="R314" t="s">
        <v>50</v>
      </c>
      <c r="S314" t="s">
        <v>50</v>
      </c>
      <c r="T314" s="1">
        <v>3.88697472</v>
      </c>
      <c r="U314" s="1">
        <v>1.78504098</v>
      </c>
      <c r="V314" s="1">
        <v>0</v>
      </c>
      <c r="W314" s="1">
        <v>0.21565908</v>
      </c>
      <c r="X314" t="s">
        <v>50</v>
      </c>
      <c r="Y314" s="1">
        <v>0.03</v>
      </c>
      <c r="Z314" s="1">
        <v>9.2499999999999999E-2</v>
      </c>
      <c r="AA314" s="1">
        <v>0.12</v>
      </c>
      <c r="AB314" t="s">
        <v>50</v>
      </c>
      <c r="AC314" s="1">
        <v>0.19400000000000001</v>
      </c>
      <c r="AD314" t="s">
        <v>50</v>
      </c>
      <c r="AE314" t="s">
        <v>50</v>
      </c>
      <c r="AF314" s="1">
        <v>3.9204000000000003E-2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1007</v>
      </c>
      <c r="AQ314" s="1">
        <v>14328</v>
      </c>
      <c r="AR314" t="s">
        <v>51</v>
      </c>
    </row>
    <row r="315" spans="1:44">
      <c r="A315" s="1">
        <v>119937</v>
      </c>
      <c r="B315" s="1">
        <v>119812</v>
      </c>
      <c r="C315" s="1">
        <v>102053</v>
      </c>
      <c r="D315" t="s">
        <v>1008</v>
      </c>
      <c r="E315" t="s">
        <v>1001</v>
      </c>
      <c r="F315" t="str">
        <f>VLOOKUP(E315,Tabela2[#All],2,FALSE)</f>
        <v>TERMINAL GARFO</v>
      </c>
      <c r="G315" t="s">
        <v>1002</v>
      </c>
      <c r="H315" s="1">
        <v>0.222</v>
      </c>
      <c r="I315" s="1">
        <v>0.222</v>
      </c>
      <c r="J315" t="s">
        <v>46</v>
      </c>
      <c r="K315" s="1">
        <v>53.006681999999998</v>
      </c>
      <c r="L315" s="1">
        <v>17</v>
      </c>
      <c r="M315" s="1">
        <v>8.98</v>
      </c>
      <c r="N315" s="1">
        <v>32958</v>
      </c>
      <c r="O315" t="s">
        <v>81</v>
      </c>
      <c r="P315" t="s">
        <v>978</v>
      </c>
      <c r="Q315" t="s">
        <v>49</v>
      </c>
      <c r="R315" t="s">
        <v>50</v>
      </c>
      <c r="S315" t="s">
        <v>50</v>
      </c>
      <c r="T315" s="1">
        <v>4.50874738</v>
      </c>
      <c r="U315" s="1">
        <v>2.1292112799999998</v>
      </c>
      <c r="V315" s="1">
        <v>0.79047647058823534</v>
      </c>
      <c r="W315" s="1">
        <v>0.26305667999999999</v>
      </c>
      <c r="X315" t="s">
        <v>50</v>
      </c>
      <c r="Y315" s="1">
        <v>3.0300000000000001E-2</v>
      </c>
      <c r="Z315" t="s">
        <v>50</v>
      </c>
      <c r="AA315" s="1">
        <v>0.2301</v>
      </c>
      <c r="AB315" t="s">
        <v>50</v>
      </c>
      <c r="AC315" s="1">
        <v>0.219</v>
      </c>
      <c r="AD315" t="s">
        <v>50</v>
      </c>
      <c r="AE315" t="s">
        <v>50</v>
      </c>
      <c r="AF315" s="1">
        <v>3.9204000000000003E-2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1003</v>
      </c>
      <c r="AQ315" s="1">
        <v>14327</v>
      </c>
      <c r="AR315" t="s">
        <v>51</v>
      </c>
    </row>
    <row r="316" spans="1:44">
      <c r="A316" s="1">
        <v>119938</v>
      </c>
      <c r="B316" s="1">
        <v>119876</v>
      </c>
      <c r="C316" s="1">
        <v>102097</v>
      </c>
      <c r="D316" t="s">
        <v>1009</v>
      </c>
      <c r="E316" t="s">
        <v>1005</v>
      </c>
      <c r="F316" t="str">
        <f>VLOOKUP(E316,Tabela2[#All],2,FALSE)</f>
        <v>TERMINAL OLHAL</v>
      </c>
      <c r="G316" t="s">
        <v>1006</v>
      </c>
      <c r="H316" s="1">
        <v>0.182</v>
      </c>
      <c r="I316" s="1">
        <v>0.182</v>
      </c>
      <c r="J316" t="s">
        <v>46</v>
      </c>
      <c r="K316" s="1">
        <v>51.583112999999997</v>
      </c>
      <c r="L316" s="1">
        <v>17</v>
      </c>
      <c r="M316" s="1">
        <v>7.58</v>
      </c>
      <c r="N316" s="1">
        <v>32958</v>
      </c>
      <c r="O316" t="s">
        <v>81</v>
      </c>
      <c r="P316" t="s">
        <v>978</v>
      </c>
      <c r="Q316" t="s">
        <v>49</v>
      </c>
      <c r="R316" t="s">
        <v>50</v>
      </c>
      <c r="S316" t="s">
        <v>50</v>
      </c>
      <c r="T316" s="1">
        <v>3.8575225799999999</v>
      </c>
      <c r="U316" s="1">
        <v>1.78504098</v>
      </c>
      <c r="V316" s="1">
        <v>0</v>
      </c>
      <c r="W316" s="1">
        <v>0.21565908</v>
      </c>
      <c r="X316" t="s">
        <v>50</v>
      </c>
      <c r="Y316" s="1">
        <v>0.03</v>
      </c>
      <c r="Z316" s="1">
        <v>9.2499999999999999E-2</v>
      </c>
      <c r="AA316" s="1">
        <v>0.12</v>
      </c>
      <c r="AB316" t="s">
        <v>50</v>
      </c>
      <c r="AC316" s="1">
        <v>0.19400000000000001</v>
      </c>
      <c r="AD316" t="s">
        <v>50</v>
      </c>
      <c r="AE316" t="s">
        <v>50</v>
      </c>
      <c r="AF316" s="1">
        <v>3.9204000000000003E-2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1007</v>
      </c>
      <c r="AQ316" s="1">
        <v>14328</v>
      </c>
      <c r="AR316" t="s">
        <v>51</v>
      </c>
    </row>
    <row r="317" spans="1:44">
      <c r="A317" s="1">
        <v>119492</v>
      </c>
      <c r="B317" s="1">
        <v>115887</v>
      </c>
      <c r="C317" s="1">
        <v>86114</v>
      </c>
      <c r="D317" t="s">
        <v>1010</v>
      </c>
      <c r="E317" t="s">
        <v>989</v>
      </c>
      <c r="F317" t="str">
        <f>VLOOKUP(E317,Tabela2[#All],2,FALSE)</f>
        <v>BASE TAÇA</v>
      </c>
      <c r="G317" t="s">
        <v>990</v>
      </c>
      <c r="H317" s="1">
        <v>0.71</v>
      </c>
      <c r="I317" s="1">
        <v>0.71</v>
      </c>
      <c r="J317" t="s">
        <v>46</v>
      </c>
      <c r="K317" s="1">
        <v>49.935650000000003</v>
      </c>
      <c r="L317" s="1">
        <v>8</v>
      </c>
      <c r="M317" s="1">
        <v>15.54</v>
      </c>
      <c r="N317" s="1">
        <v>32958</v>
      </c>
      <c r="O317" t="s">
        <v>81</v>
      </c>
      <c r="P317" t="s">
        <v>978</v>
      </c>
      <c r="Q317" t="s">
        <v>49</v>
      </c>
      <c r="R317" t="s">
        <v>50</v>
      </c>
      <c r="S317" t="s">
        <v>50</v>
      </c>
      <c r="T317" s="1">
        <v>13.192877190000001</v>
      </c>
      <c r="U317" s="1">
        <v>8.2186011400000005</v>
      </c>
      <c r="V317" s="1">
        <v>2.8066374999999999</v>
      </c>
      <c r="W317" s="1">
        <v>0.84130740000000004</v>
      </c>
      <c r="X317" t="s">
        <v>50</v>
      </c>
      <c r="Y317" s="1">
        <v>6.2399999999999997E-2</v>
      </c>
      <c r="Z317" t="s">
        <v>50</v>
      </c>
      <c r="AA317" s="1">
        <v>1.3660000000000001</v>
      </c>
      <c r="AB317" t="s">
        <v>50</v>
      </c>
      <c r="AC317" s="1">
        <v>0.22900000000000001</v>
      </c>
      <c r="AD317" t="s">
        <v>50</v>
      </c>
      <c r="AE317" t="s">
        <v>50</v>
      </c>
      <c r="AF317" s="1">
        <v>0.21709999999999999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991</v>
      </c>
      <c r="AQ317" s="1">
        <v>12927</v>
      </c>
      <c r="AR317" t="s">
        <v>51</v>
      </c>
    </row>
    <row r="318" spans="1:44">
      <c r="A318" s="1">
        <v>93034</v>
      </c>
      <c r="B318" s="1">
        <v>93033</v>
      </c>
      <c r="C318" s="1">
        <v>84830</v>
      </c>
      <c r="D318" t="s">
        <v>1011</v>
      </c>
      <c r="E318" t="s">
        <v>1012</v>
      </c>
      <c r="F318" t="str">
        <f>VLOOKUP(E318,Tabela2[#All],2,FALSE)</f>
        <v>TAMPA</v>
      </c>
      <c r="G318" t="s">
        <v>1013</v>
      </c>
      <c r="H318" s="1">
        <v>11</v>
      </c>
      <c r="I318" s="1">
        <v>11</v>
      </c>
      <c r="J318" t="s">
        <v>46</v>
      </c>
      <c r="K318" s="1">
        <v>59.044552000000003</v>
      </c>
      <c r="L318" s="1">
        <v>1</v>
      </c>
      <c r="M318" s="1">
        <v>18.63</v>
      </c>
      <c r="N318" s="1">
        <v>32901</v>
      </c>
      <c r="O318" t="s">
        <v>534</v>
      </c>
      <c r="P318" t="s">
        <v>1014</v>
      </c>
      <c r="Q318" t="s">
        <v>350</v>
      </c>
      <c r="R318" t="s">
        <v>50</v>
      </c>
      <c r="S318" t="s">
        <v>50</v>
      </c>
      <c r="T318" s="1">
        <v>65.761776769999997</v>
      </c>
      <c r="U318" s="1">
        <v>63.487880279999999</v>
      </c>
      <c r="V318" s="1">
        <v>0</v>
      </c>
      <c r="W318" s="1">
        <v>0</v>
      </c>
      <c r="X318" t="s">
        <v>50</v>
      </c>
      <c r="Y318" s="1">
        <v>0.09</v>
      </c>
      <c r="Z318" t="s">
        <v>50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s="1">
        <v>0.99990000000000001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1015</v>
      </c>
      <c r="AQ318" s="1">
        <v>9487</v>
      </c>
      <c r="AR318" t="s">
        <v>51</v>
      </c>
    </row>
    <row r="319" spans="1:44">
      <c r="A319" s="1">
        <v>31931</v>
      </c>
      <c r="B319" s="1">
        <v>38389</v>
      </c>
      <c r="C319" s="1">
        <v>31257</v>
      </c>
      <c r="D319" t="s">
        <v>1016</v>
      </c>
      <c r="E319" t="s">
        <v>1017</v>
      </c>
      <c r="F319" t="str">
        <f>VLOOKUP(E319,Tabela2[#All],2,FALSE)</f>
        <v>GANSO</v>
      </c>
      <c r="G319" t="s">
        <v>1018</v>
      </c>
      <c r="H319" s="1">
        <v>1.544</v>
      </c>
      <c r="I319" s="1">
        <v>1.544</v>
      </c>
      <c r="J319" t="s">
        <v>46</v>
      </c>
      <c r="K319" s="1">
        <v>50.775509999999997</v>
      </c>
      <c r="L319" s="1">
        <v>4</v>
      </c>
      <c r="M319" s="1">
        <v>12.25</v>
      </c>
      <c r="N319" s="1">
        <v>32958</v>
      </c>
      <c r="O319" t="s">
        <v>81</v>
      </c>
      <c r="P319" t="s">
        <v>256</v>
      </c>
      <c r="Q319" t="s">
        <v>49</v>
      </c>
      <c r="R319" t="s">
        <v>50</v>
      </c>
      <c r="S319" s="1">
        <v>0.69750000000000001</v>
      </c>
      <c r="T319" s="1">
        <v>25.74630406</v>
      </c>
      <c r="U319" s="1">
        <v>19.093796999999999</v>
      </c>
      <c r="V319" s="1">
        <v>0</v>
      </c>
      <c r="W319" s="1">
        <v>1.8295473600000001</v>
      </c>
      <c r="X319" t="s">
        <v>50</v>
      </c>
      <c r="Y319" s="1">
        <v>0.25</v>
      </c>
      <c r="Z319" s="1">
        <v>0.9</v>
      </c>
      <c r="AA319" t="s">
        <v>50</v>
      </c>
      <c r="AB319" t="s">
        <v>50</v>
      </c>
      <c r="AC319" s="1">
        <v>0.2727</v>
      </c>
      <c r="AD319" t="s">
        <v>50</v>
      </c>
      <c r="AE319" t="s">
        <v>50</v>
      </c>
      <c r="AF319" s="1">
        <v>0.20452500000000001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1017</v>
      </c>
      <c r="AQ319" s="1">
        <v>405</v>
      </c>
      <c r="AR319" t="s">
        <v>399</v>
      </c>
    </row>
    <row r="320" spans="1:44">
      <c r="A320" s="1">
        <v>31931</v>
      </c>
      <c r="B320" s="1">
        <v>38389</v>
      </c>
      <c r="C320" s="1">
        <v>31257</v>
      </c>
      <c r="D320" t="s">
        <v>1016</v>
      </c>
      <c r="E320" t="s">
        <v>1017</v>
      </c>
      <c r="F320" t="str">
        <f>VLOOKUP(E320,Tabela2[#All],2,FALSE)</f>
        <v>GANSO</v>
      </c>
      <c r="G320" t="s">
        <v>1019</v>
      </c>
      <c r="H320" s="1">
        <v>1.544</v>
      </c>
      <c r="I320" s="1">
        <v>1.544</v>
      </c>
      <c r="J320" t="s">
        <v>46</v>
      </c>
      <c r="K320" s="1">
        <v>57.038055999999997</v>
      </c>
      <c r="L320" s="1">
        <v>4</v>
      </c>
      <c r="M320" s="1">
        <v>10.904999999999999</v>
      </c>
      <c r="N320" s="1">
        <v>32958</v>
      </c>
      <c r="O320" t="s">
        <v>81</v>
      </c>
      <c r="P320" t="s">
        <v>256</v>
      </c>
      <c r="Q320" t="s">
        <v>49</v>
      </c>
      <c r="R320" t="s">
        <v>50</v>
      </c>
      <c r="S320" s="1">
        <v>0.69750000000000001</v>
      </c>
      <c r="T320" s="1">
        <v>25.74630406</v>
      </c>
      <c r="U320" s="1">
        <v>19.093796999999999</v>
      </c>
      <c r="V320" s="1">
        <v>0</v>
      </c>
      <c r="W320" s="1">
        <v>1.8295473600000001</v>
      </c>
      <c r="X320" t="s">
        <v>50</v>
      </c>
      <c r="Y320" s="1">
        <v>0.25</v>
      </c>
      <c r="Z320" s="1">
        <v>0.9</v>
      </c>
      <c r="AA320" t="s">
        <v>50</v>
      </c>
      <c r="AB320" t="s">
        <v>50</v>
      </c>
      <c r="AC320" s="1">
        <v>0.2727</v>
      </c>
      <c r="AD320" t="s">
        <v>50</v>
      </c>
      <c r="AE320" t="s">
        <v>50</v>
      </c>
      <c r="AF320" s="1">
        <v>0.20452500000000001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1017</v>
      </c>
      <c r="AQ320" s="1">
        <v>2529</v>
      </c>
      <c r="AR320" t="s">
        <v>51</v>
      </c>
    </row>
    <row r="321" spans="1:44">
      <c r="A321" s="1">
        <v>76459</v>
      </c>
      <c r="B321" s="1">
        <v>94929</v>
      </c>
      <c r="C321" s="1">
        <v>86627</v>
      </c>
      <c r="D321" t="s">
        <v>1020</v>
      </c>
      <c r="E321" t="s">
        <v>1021</v>
      </c>
      <c r="F321" t="str">
        <f>VLOOKUP(E321,Tabela2[#All],2,FALSE)</f>
        <v>Válvula Nível 6</v>
      </c>
      <c r="G321" t="s">
        <v>1022</v>
      </c>
      <c r="H321" s="1">
        <v>0.27</v>
      </c>
      <c r="I321" s="1">
        <v>0.27</v>
      </c>
      <c r="J321" t="s">
        <v>65</v>
      </c>
      <c r="K321" s="1">
        <v>63.8</v>
      </c>
      <c r="L321" s="1">
        <v>19.25</v>
      </c>
      <c r="M321" s="1">
        <v>8.75</v>
      </c>
      <c r="N321" s="1">
        <v>36450</v>
      </c>
      <c r="O321" t="s">
        <v>1023</v>
      </c>
      <c r="P321" t="s">
        <v>1024</v>
      </c>
      <c r="Q321" t="s">
        <v>1025</v>
      </c>
      <c r="R321" t="s">
        <v>50</v>
      </c>
      <c r="S321" t="s">
        <v>50</v>
      </c>
      <c r="T321" s="1">
        <v>3.4521690899999999</v>
      </c>
      <c r="U321" s="1">
        <v>2.2716767899999999</v>
      </c>
      <c r="V321" s="1">
        <v>0</v>
      </c>
      <c r="W321" s="1">
        <v>0</v>
      </c>
      <c r="X321" t="s">
        <v>50</v>
      </c>
      <c r="Y321" s="1">
        <v>4.48E-2</v>
      </c>
      <c r="Z321" s="1">
        <v>0.16120000000000001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s="1">
        <v>2.2700000000000001E-2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1026</v>
      </c>
      <c r="AQ321" s="1">
        <v>9967</v>
      </c>
      <c r="AR321" t="s">
        <v>178</v>
      </c>
    </row>
    <row r="322" spans="1:44">
      <c r="A322" s="1">
        <v>76459</v>
      </c>
      <c r="B322" s="1">
        <v>94929</v>
      </c>
      <c r="C322" s="1">
        <v>86627</v>
      </c>
      <c r="D322" t="s">
        <v>1020</v>
      </c>
      <c r="E322" t="s">
        <v>1021</v>
      </c>
      <c r="F322" t="str">
        <f>VLOOKUP(E322,Tabela2[#All],2,FALSE)</f>
        <v>Válvula Nível 6</v>
      </c>
      <c r="G322" t="s">
        <v>1022</v>
      </c>
      <c r="H322" s="1">
        <v>0.27</v>
      </c>
      <c r="I322" s="1">
        <v>0.27</v>
      </c>
      <c r="J322" t="s">
        <v>65</v>
      </c>
      <c r="K322" s="1">
        <v>63.8</v>
      </c>
      <c r="L322" s="1">
        <v>19.25</v>
      </c>
      <c r="M322" s="1">
        <v>8.75</v>
      </c>
      <c r="N322" s="1">
        <v>36450</v>
      </c>
      <c r="O322" t="s">
        <v>1023</v>
      </c>
      <c r="P322" t="s">
        <v>1027</v>
      </c>
      <c r="Q322" t="s">
        <v>1025</v>
      </c>
      <c r="R322" t="s">
        <v>50</v>
      </c>
      <c r="S322" t="s">
        <v>50</v>
      </c>
      <c r="T322" s="1">
        <v>3.4521690899999999</v>
      </c>
      <c r="U322" s="1">
        <v>2.2716767899999999</v>
      </c>
      <c r="V322" s="1">
        <v>0</v>
      </c>
      <c r="W322" s="1">
        <v>0</v>
      </c>
      <c r="X322" t="s">
        <v>50</v>
      </c>
      <c r="Y322" s="1">
        <v>4.48E-2</v>
      </c>
      <c r="Z322" s="1">
        <v>0.16120000000000001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s="1">
        <v>2.2700000000000001E-2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1026</v>
      </c>
      <c r="AQ322" s="1">
        <v>9967</v>
      </c>
      <c r="AR322" t="s">
        <v>178</v>
      </c>
    </row>
    <row r="323" spans="1:44">
      <c r="A323" s="1">
        <v>76459</v>
      </c>
      <c r="B323" s="1">
        <v>94929</v>
      </c>
      <c r="C323" s="1">
        <v>86627</v>
      </c>
      <c r="D323" t="s">
        <v>1020</v>
      </c>
      <c r="E323" t="s">
        <v>1021</v>
      </c>
      <c r="F323" t="str">
        <f>VLOOKUP(E323,Tabela2[#All],2,FALSE)</f>
        <v>Válvula Nível 6</v>
      </c>
      <c r="G323" t="s">
        <v>1022</v>
      </c>
      <c r="H323" s="1">
        <v>0.27</v>
      </c>
      <c r="I323" s="1">
        <v>0.27</v>
      </c>
      <c r="J323" t="s">
        <v>65</v>
      </c>
      <c r="K323" s="1">
        <v>63.8</v>
      </c>
      <c r="L323" s="1">
        <v>19.25</v>
      </c>
      <c r="M323" s="1">
        <v>8.75</v>
      </c>
      <c r="N323" s="1">
        <v>36450</v>
      </c>
      <c r="O323" t="s">
        <v>1023</v>
      </c>
      <c r="P323" t="s">
        <v>1028</v>
      </c>
      <c r="Q323" t="s">
        <v>1025</v>
      </c>
      <c r="R323" t="s">
        <v>50</v>
      </c>
      <c r="S323" t="s">
        <v>50</v>
      </c>
      <c r="T323" s="1">
        <v>3.4521690899999999</v>
      </c>
      <c r="U323" s="1">
        <v>2.2716767899999999</v>
      </c>
      <c r="V323" s="1">
        <v>0</v>
      </c>
      <c r="W323" s="1">
        <v>0</v>
      </c>
      <c r="X323" t="s">
        <v>50</v>
      </c>
      <c r="Y323" s="1">
        <v>4.48E-2</v>
      </c>
      <c r="Z323" s="1">
        <v>0.16120000000000001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s="1">
        <v>2.2700000000000001E-2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1026</v>
      </c>
      <c r="AQ323" s="1">
        <v>9967</v>
      </c>
      <c r="AR323" t="s">
        <v>178</v>
      </c>
    </row>
    <row r="324" spans="1:44">
      <c r="A324" s="1">
        <v>76459</v>
      </c>
      <c r="B324" s="1">
        <v>94929</v>
      </c>
      <c r="C324" s="1">
        <v>86627</v>
      </c>
      <c r="D324" t="s">
        <v>1020</v>
      </c>
      <c r="E324" t="s">
        <v>1021</v>
      </c>
      <c r="F324" t="str">
        <f>VLOOKUP(E324,Tabela2[#All],2,FALSE)</f>
        <v>Válvula Nível 6</v>
      </c>
      <c r="G324" t="s">
        <v>1022</v>
      </c>
      <c r="H324" s="1">
        <v>0.27</v>
      </c>
      <c r="I324" s="1">
        <v>0.27</v>
      </c>
      <c r="J324" t="s">
        <v>65</v>
      </c>
      <c r="K324" s="1">
        <v>63.8</v>
      </c>
      <c r="L324" s="1">
        <v>19.25</v>
      </c>
      <c r="M324" s="1">
        <v>8.75</v>
      </c>
      <c r="N324" s="1">
        <v>36450</v>
      </c>
      <c r="O324" t="s">
        <v>1023</v>
      </c>
      <c r="P324" t="s">
        <v>1029</v>
      </c>
      <c r="Q324" t="s">
        <v>1025</v>
      </c>
      <c r="R324" t="s">
        <v>50</v>
      </c>
      <c r="S324" t="s">
        <v>50</v>
      </c>
      <c r="T324" s="1">
        <v>3.4521690899999999</v>
      </c>
      <c r="U324" s="1">
        <v>2.2716767899999999</v>
      </c>
      <c r="V324" s="1">
        <v>0</v>
      </c>
      <c r="W324" s="1">
        <v>0</v>
      </c>
      <c r="X324" t="s">
        <v>50</v>
      </c>
      <c r="Y324" s="1">
        <v>4.48E-2</v>
      </c>
      <c r="Z324" s="1">
        <v>0.16120000000000001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s="1">
        <v>2.2700000000000001E-2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1026</v>
      </c>
      <c r="AQ324" s="1">
        <v>9967</v>
      </c>
      <c r="AR324" t="s">
        <v>178</v>
      </c>
    </row>
    <row r="325" spans="1:44">
      <c r="A325" s="1">
        <v>76459</v>
      </c>
      <c r="B325" s="1">
        <v>94929</v>
      </c>
      <c r="C325" s="1">
        <v>86627</v>
      </c>
      <c r="D325" t="s">
        <v>1020</v>
      </c>
      <c r="E325" t="s">
        <v>1021</v>
      </c>
      <c r="F325" t="str">
        <f>VLOOKUP(E325,Tabela2[#All],2,FALSE)</f>
        <v>Válvula Nível 6</v>
      </c>
      <c r="G325" t="s">
        <v>1022</v>
      </c>
      <c r="H325" s="1">
        <v>0.27</v>
      </c>
      <c r="I325" s="1">
        <v>0.27</v>
      </c>
      <c r="J325" t="s">
        <v>65</v>
      </c>
      <c r="K325" s="1">
        <v>63.8</v>
      </c>
      <c r="L325" s="1">
        <v>19.25</v>
      </c>
      <c r="M325" s="1">
        <v>8.75</v>
      </c>
      <c r="N325" s="1">
        <v>36450</v>
      </c>
      <c r="O325" t="s">
        <v>1023</v>
      </c>
      <c r="P325" t="s">
        <v>1030</v>
      </c>
      <c r="Q325" t="s">
        <v>60</v>
      </c>
      <c r="R325" t="s">
        <v>50</v>
      </c>
      <c r="S325" t="s">
        <v>50</v>
      </c>
      <c r="T325" s="1">
        <v>3.4521690899999999</v>
      </c>
      <c r="U325" s="1">
        <v>2.2716767899999999</v>
      </c>
      <c r="V325" s="1">
        <v>0</v>
      </c>
      <c r="W325" s="1">
        <v>0</v>
      </c>
      <c r="X325" t="s">
        <v>50</v>
      </c>
      <c r="Y325" s="1">
        <v>4.48E-2</v>
      </c>
      <c r="Z325" s="1">
        <v>0.16120000000000001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s="1">
        <v>2.2700000000000001E-2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1026</v>
      </c>
      <c r="AQ325" s="1">
        <v>9967</v>
      </c>
      <c r="AR325" t="s">
        <v>178</v>
      </c>
    </row>
    <row r="326" spans="1:44">
      <c r="A326" s="1">
        <v>76459</v>
      </c>
      <c r="B326" s="1">
        <v>94929</v>
      </c>
      <c r="C326" s="1">
        <v>86627</v>
      </c>
      <c r="D326" t="s">
        <v>1020</v>
      </c>
      <c r="E326" t="s">
        <v>1021</v>
      </c>
      <c r="F326" t="str">
        <f>VLOOKUP(E326,Tabela2[#All],2,FALSE)</f>
        <v>Válvula Nível 6</v>
      </c>
      <c r="G326" t="s">
        <v>1022</v>
      </c>
      <c r="H326" s="1">
        <v>0.27</v>
      </c>
      <c r="I326" s="1">
        <v>0.27</v>
      </c>
      <c r="J326" t="s">
        <v>65</v>
      </c>
      <c r="K326" s="1">
        <v>63.8</v>
      </c>
      <c r="L326" s="1">
        <v>19.25</v>
      </c>
      <c r="M326" s="1">
        <v>8.75</v>
      </c>
      <c r="N326" s="1">
        <v>36450</v>
      </c>
      <c r="O326" t="s">
        <v>1023</v>
      </c>
      <c r="P326" t="s">
        <v>1031</v>
      </c>
      <c r="Q326" t="s">
        <v>1025</v>
      </c>
      <c r="R326" t="s">
        <v>50</v>
      </c>
      <c r="S326" t="s">
        <v>50</v>
      </c>
      <c r="T326" s="1">
        <v>3.4521690899999999</v>
      </c>
      <c r="U326" s="1">
        <v>2.2716767899999999</v>
      </c>
      <c r="V326" s="1">
        <v>0</v>
      </c>
      <c r="W326" s="1">
        <v>0</v>
      </c>
      <c r="X326" t="s">
        <v>50</v>
      </c>
      <c r="Y326" s="1">
        <v>4.48E-2</v>
      </c>
      <c r="Z326" s="1">
        <v>0.16120000000000001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s="1">
        <v>2.2700000000000001E-2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1026</v>
      </c>
      <c r="AQ326" s="1">
        <v>9967</v>
      </c>
      <c r="AR326" t="s">
        <v>178</v>
      </c>
    </row>
    <row r="327" spans="1:44">
      <c r="A327" s="1">
        <v>76459</v>
      </c>
      <c r="B327" s="1">
        <v>94929</v>
      </c>
      <c r="C327" s="1">
        <v>86627</v>
      </c>
      <c r="D327" t="s">
        <v>1020</v>
      </c>
      <c r="E327" t="s">
        <v>1021</v>
      </c>
      <c r="F327" t="str">
        <f>VLOOKUP(E327,Tabela2[#All],2,FALSE)</f>
        <v>Válvula Nível 6</v>
      </c>
      <c r="G327" t="s">
        <v>1022</v>
      </c>
      <c r="H327" s="1">
        <v>0.27</v>
      </c>
      <c r="I327" s="1">
        <v>0.27</v>
      </c>
      <c r="J327" t="s">
        <v>65</v>
      </c>
      <c r="K327" s="1">
        <v>63.8</v>
      </c>
      <c r="L327" s="1">
        <v>19.25</v>
      </c>
      <c r="M327" s="1">
        <v>8.75</v>
      </c>
      <c r="N327" s="1">
        <v>36450</v>
      </c>
      <c r="O327" t="s">
        <v>1023</v>
      </c>
      <c r="P327" t="s">
        <v>1032</v>
      </c>
      <c r="Q327" t="s">
        <v>1025</v>
      </c>
      <c r="R327" t="s">
        <v>50</v>
      </c>
      <c r="S327" t="s">
        <v>50</v>
      </c>
      <c r="T327" s="1">
        <v>3.4521690899999999</v>
      </c>
      <c r="U327" s="1">
        <v>2.2716767899999999</v>
      </c>
      <c r="V327" s="1">
        <v>0</v>
      </c>
      <c r="W327" s="1">
        <v>0</v>
      </c>
      <c r="X327" t="s">
        <v>50</v>
      </c>
      <c r="Y327" s="1">
        <v>4.48E-2</v>
      </c>
      <c r="Z327" s="1">
        <v>0.16120000000000001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s="1">
        <v>2.2700000000000001E-2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1026</v>
      </c>
      <c r="AQ327" s="1">
        <v>9967</v>
      </c>
      <c r="AR327" t="s">
        <v>178</v>
      </c>
    </row>
    <row r="328" spans="1:44">
      <c r="A328" s="1">
        <v>76459</v>
      </c>
      <c r="B328" s="1">
        <v>94929</v>
      </c>
      <c r="C328" s="1">
        <v>86627</v>
      </c>
      <c r="D328" t="s">
        <v>1020</v>
      </c>
      <c r="E328" t="s">
        <v>1021</v>
      </c>
      <c r="F328" t="str">
        <f>VLOOKUP(E328,Tabela2[#All],2,FALSE)</f>
        <v>Válvula Nível 6</v>
      </c>
      <c r="G328" t="s">
        <v>1022</v>
      </c>
      <c r="H328" s="1">
        <v>0.27</v>
      </c>
      <c r="I328" s="1">
        <v>0.27</v>
      </c>
      <c r="J328" t="s">
        <v>65</v>
      </c>
      <c r="K328" s="1">
        <v>63.8</v>
      </c>
      <c r="L328" s="1">
        <v>19.25</v>
      </c>
      <c r="M328" s="1">
        <v>8.75</v>
      </c>
      <c r="N328" s="1">
        <v>36450</v>
      </c>
      <c r="O328" t="s">
        <v>1023</v>
      </c>
      <c r="P328" t="s">
        <v>1033</v>
      </c>
      <c r="Q328" t="s">
        <v>1025</v>
      </c>
      <c r="R328" t="s">
        <v>50</v>
      </c>
      <c r="S328" t="s">
        <v>50</v>
      </c>
      <c r="T328" s="1">
        <v>3.4521690899999999</v>
      </c>
      <c r="U328" s="1">
        <v>2.2716767899999999</v>
      </c>
      <c r="V328" s="1">
        <v>0</v>
      </c>
      <c r="W328" s="1">
        <v>0</v>
      </c>
      <c r="X328" t="s">
        <v>50</v>
      </c>
      <c r="Y328" s="1">
        <v>4.48E-2</v>
      </c>
      <c r="Z328" s="1">
        <v>0.16120000000000001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s="1">
        <v>2.2700000000000001E-2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1026</v>
      </c>
      <c r="AQ328" s="1">
        <v>9967</v>
      </c>
      <c r="AR328" t="s">
        <v>178</v>
      </c>
    </row>
    <row r="329" spans="1:44">
      <c r="A329" s="1">
        <v>76459</v>
      </c>
      <c r="B329" s="1">
        <v>94929</v>
      </c>
      <c r="C329" s="1">
        <v>86627</v>
      </c>
      <c r="D329" t="s">
        <v>1020</v>
      </c>
      <c r="E329" t="s">
        <v>1021</v>
      </c>
      <c r="F329" t="str">
        <f>VLOOKUP(E329,Tabela2[#All],2,FALSE)</f>
        <v>Válvula Nível 6</v>
      </c>
      <c r="G329" t="s">
        <v>1022</v>
      </c>
      <c r="H329" s="1">
        <v>0.27</v>
      </c>
      <c r="I329" s="1">
        <v>0.27</v>
      </c>
      <c r="J329" t="s">
        <v>65</v>
      </c>
      <c r="K329" s="1">
        <v>63.8</v>
      </c>
      <c r="L329" s="1">
        <v>19.25</v>
      </c>
      <c r="M329" s="1">
        <v>8.75</v>
      </c>
      <c r="N329" s="1">
        <v>36450</v>
      </c>
      <c r="O329" t="s">
        <v>1023</v>
      </c>
      <c r="P329" t="s">
        <v>1034</v>
      </c>
      <c r="Q329" t="s">
        <v>1025</v>
      </c>
      <c r="R329" t="s">
        <v>50</v>
      </c>
      <c r="S329" t="s">
        <v>50</v>
      </c>
      <c r="T329" s="1">
        <v>3.4521690899999999</v>
      </c>
      <c r="U329" s="1">
        <v>2.2716767899999999</v>
      </c>
      <c r="V329" s="1">
        <v>0</v>
      </c>
      <c r="W329" s="1">
        <v>0</v>
      </c>
      <c r="X329" t="s">
        <v>50</v>
      </c>
      <c r="Y329" s="1">
        <v>4.48E-2</v>
      </c>
      <c r="Z329" s="1">
        <v>0.16120000000000001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s="1">
        <v>2.2700000000000001E-2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1026</v>
      </c>
      <c r="AQ329" s="1">
        <v>9967</v>
      </c>
      <c r="AR329" t="s">
        <v>178</v>
      </c>
    </row>
    <row r="330" spans="1:44">
      <c r="A330" s="1">
        <v>113109</v>
      </c>
      <c r="B330" s="1">
        <v>94929</v>
      </c>
      <c r="C330" s="1">
        <v>86627</v>
      </c>
      <c r="D330" t="s">
        <v>1035</v>
      </c>
      <c r="E330" t="s">
        <v>1021</v>
      </c>
      <c r="F330" t="str">
        <f>VLOOKUP(E330,Tabela2[#All],2,FALSE)</f>
        <v>Válvula Nível 6</v>
      </c>
      <c r="G330" t="s">
        <v>1022</v>
      </c>
      <c r="H330" s="1">
        <v>0.27</v>
      </c>
      <c r="I330" s="1">
        <v>0.27</v>
      </c>
      <c r="J330" t="s">
        <v>65</v>
      </c>
      <c r="K330" s="1">
        <v>63.8</v>
      </c>
      <c r="L330" s="1">
        <v>19.25</v>
      </c>
      <c r="M330" s="1">
        <v>8.75</v>
      </c>
      <c r="N330" s="1">
        <v>36450</v>
      </c>
      <c r="O330" t="s">
        <v>1023</v>
      </c>
      <c r="P330" t="s">
        <v>1036</v>
      </c>
      <c r="Q330" t="s">
        <v>1025</v>
      </c>
      <c r="R330" t="s">
        <v>50</v>
      </c>
      <c r="S330" t="s">
        <v>50</v>
      </c>
      <c r="T330" s="1">
        <v>3.0696288200000001</v>
      </c>
      <c r="U330" s="1">
        <v>2.2716767899999999</v>
      </c>
      <c r="V330" s="1">
        <v>0</v>
      </c>
      <c r="W330" s="1">
        <v>0</v>
      </c>
      <c r="X330" t="s">
        <v>50</v>
      </c>
      <c r="Y330" s="1">
        <v>4.48E-2</v>
      </c>
      <c r="Z330" t="s">
        <v>50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s="1">
        <v>2.2700000000000001E-2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1026</v>
      </c>
      <c r="AQ330" s="1">
        <v>9967</v>
      </c>
      <c r="AR330" t="s">
        <v>178</v>
      </c>
    </row>
    <row r="331" spans="1:44">
      <c r="A331" s="1">
        <v>113109</v>
      </c>
      <c r="B331" s="1">
        <v>94929</v>
      </c>
      <c r="C331" s="1">
        <v>86627</v>
      </c>
      <c r="D331" t="s">
        <v>1035</v>
      </c>
      <c r="E331" t="s">
        <v>1021</v>
      </c>
      <c r="F331" t="str">
        <f>VLOOKUP(E331,Tabela2[#All],2,FALSE)</f>
        <v>Válvula Nível 6</v>
      </c>
      <c r="G331" t="s">
        <v>1022</v>
      </c>
      <c r="H331" s="1">
        <v>0.27</v>
      </c>
      <c r="I331" s="1">
        <v>0.27</v>
      </c>
      <c r="J331" t="s">
        <v>65</v>
      </c>
      <c r="K331" s="1">
        <v>63.8</v>
      </c>
      <c r="L331" s="1">
        <v>19.25</v>
      </c>
      <c r="M331" s="1">
        <v>8.75</v>
      </c>
      <c r="N331" s="1">
        <v>36450</v>
      </c>
      <c r="O331" t="s">
        <v>1023</v>
      </c>
      <c r="P331" t="s">
        <v>1037</v>
      </c>
      <c r="Q331" t="s">
        <v>1025</v>
      </c>
      <c r="R331" t="s">
        <v>50</v>
      </c>
      <c r="S331" t="s">
        <v>50</v>
      </c>
      <c r="T331" s="1">
        <v>3.0696288200000001</v>
      </c>
      <c r="U331" s="1">
        <v>2.2716767899999999</v>
      </c>
      <c r="V331" s="1">
        <v>0</v>
      </c>
      <c r="W331" s="1">
        <v>0</v>
      </c>
      <c r="X331" t="s">
        <v>50</v>
      </c>
      <c r="Y331" s="1">
        <v>4.48E-2</v>
      </c>
      <c r="Z331" t="s">
        <v>50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s="1">
        <v>2.2700000000000001E-2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1026</v>
      </c>
      <c r="AQ331" s="1">
        <v>9967</v>
      </c>
      <c r="AR331" t="s">
        <v>178</v>
      </c>
    </row>
    <row r="332" spans="1:44">
      <c r="A332" s="1">
        <v>115767</v>
      </c>
      <c r="B332" s="1">
        <v>94929</v>
      </c>
      <c r="C332" s="1">
        <v>86627</v>
      </c>
      <c r="D332" t="s">
        <v>1038</v>
      </c>
      <c r="E332" t="s">
        <v>1021</v>
      </c>
      <c r="F332" t="str">
        <f>VLOOKUP(E332,Tabela2[#All],2,FALSE)</f>
        <v>Válvula Nível 6</v>
      </c>
      <c r="G332" t="s">
        <v>1022</v>
      </c>
      <c r="H332" s="1">
        <v>0.27</v>
      </c>
      <c r="I332" s="1">
        <v>0.27</v>
      </c>
      <c r="J332" t="s">
        <v>65</v>
      </c>
      <c r="K332" s="1">
        <v>63.8</v>
      </c>
      <c r="L332" s="1">
        <v>19.25</v>
      </c>
      <c r="M332" s="1">
        <v>8.75</v>
      </c>
      <c r="N332" s="1">
        <v>36450</v>
      </c>
      <c r="O332" t="s">
        <v>1023</v>
      </c>
      <c r="P332" t="s">
        <v>1039</v>
      </c>
      <c r="Q332" t="s">
        <v>1025</v>
      </c>
      <c r="R332" t="s">
        <v>50</v>
      </c>
      <c r="S332" t="s">
        <v>50</v>
      </c>
      <c r="T332" s="1">
        <v>3.3732190900000001</v>
      </c>
      <c r="U332" s="1">
        <v>2.2716767899999999</v>
      </c>
      <c r="V332" s="1">
        <v>0</v>
      </c>
      <c r="W332" s="1">
        <v>0</v>
      </c>
      <c r="X332" t="s">
        <v>50</v>
      </c>
      <c r="Y332" s="1">
        <v>4.48E-2</v>
      </c>
      <c r="Z332" s="1">
        <v>0.16120000000000001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s="1">
        <v>2.2700000000000001E-2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1026</v>
      </c>
      <c r="AQ332" s="1">
        <v>9967</v>
      </c>
      <c r="AR332" t="s">
        <v>178</v>
      </c>
    </row>
    <row r="333" spans="1:44">
      <c r="A333" s="1">
        <v>115767</v>
      </c>
      <c r="B333" s="1">
        <v>94929</v>
      </c>
      <c r="C333" s="1">
        <v>86627</v>
      </c>
      <c r="D333" t="s">
        <v>1038</v>
      </c>
      <c r="E333" t="s">
        <v>1021</v>
      </c>
      <c r="F333" t="str">
        <f>VLOOKUP(E333,Tabela2[#All],2,FALSE)</f>
        <v>Válvula Nível 6</v>
      </c>
      <c r="G333" t="s">
        <v>1022</v>
      </c>
      <c r="H333" s="1">
        <v>0.27</v>
      </c>
      <c r="I333" s="1">
        <v>0.27</v>
      </c>
      <c r="J333" t="s">
        <v>65</v>
      </c>
      <c r="K333" s="1">
        <v>63.8</v>
      </c>
      <c r="L333" s="1">
        <v>19.25</v>
      </c>
      <c r="M333" s="1">
        <v>8.75</v>
      </c>
      <c r="N333" s="1">
        <v>36450</v>
      </c>
      <c r="O333" t="s">
        <v>1023</v>
      </c>
      <c r="P333" t="s">
        <v>1029</v>
      </c>
      <c r="Q333" t="s">
        <v>1025</v>
      </c>
      <c r="R333" t="s">
        <v>50</v>
      </c>
      <c r="S333" t="s">
        <v>50</v>
      </c>
      <c r="T333" s="1">
        <v>3.3732190900000001</v>
      </c>
      <c r="U333" s="1">
        <v>2.2716767899999999</v>
      </c>
      <c r="V333" s="1">
        <v>0</v>
      </c>
      <c r="W333" s="1">
        <v>0</v>
      </c>
      <c r="X333" t="s">
        <v>50</v>
      </c>
      <c r="Y333" s="1">
        <v>4.48E-2</v>
      </c>
      <c r="Z333" s="1">
        <v>0.16120000000000001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s="1">
        <v>2.2700000000000001E-2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1026</v>
      </c>
      <c r="AQ333" s="1">
        <v>9967</v>
      </c>
      <c r="AR333" t="s">
        <v>178</v>
      </c>
    </row>
    <row r="334" spans="1:44">
      <c r="A334" s="1">
        <v>115767</v>
      </c>
      <c r="B334" s="1">
        <v>94929</v>
      </c>
      <c r="C334" s="1">
        <v>86627</v>
      </c>
      <c r="D334" t="s">
        <v>1038</v>
      </c>
      <c r="E334" t="s">
        <v>1021</v>
      </c>
      <c r="F334" t="str">
        <f>VLOOKUP(E334,Tabela2[#All],2,FALSE)</f>
        <v>Válvula Nível 6</v>
      </c>
      <c r="G334" t="s">
        <v>1022</v>
      </c>
      <c r="H334" s="1">
        <v>0.27</v>
      </c>
      <c r="I334" s="1">
        <v>0.27</v>
      </c>
      <c r="J334" t="s">
        <v>65</v>
      </c>
      <c r="K334" s="1">
        <v>63.8</v>
      </c>
      <c r="L334" s="1">
        <v>19.25</v>
      </c>
      <c r="M334" s="1">
        <v>8.75</v>
      </c>
      <c r="N334" s="1">
        <v>36450</v>
      </c>
      <c r="O334" t="s">
        <v>1023</v>
      </c>
      <c r="P334" t="s">
        <v>1033</v>
      </c>
      <c r="Q334" t="s">
        <v>1025</v>
      </c>
      <c r="R334" t="s">
        <v>50</v>
      </c>
      <c r="S334" t="s">
        <v>50</v>
      </c>
      <c r="T334" s="1">
        <v>3.3732190900000001</v>
      </c>
      <c r="U334" s="1">
        <v>2.2716767899999999</v>
      </c>
      <c r="V334" s="1">
        <v>0</v>
      </c>
      <c r="W334" s="1">
        <v>0</v>
      </c>
      <c r="X334" t="s">
        <v>50</v>
      </c>
      <c r="Y334" s="1">
        <v>4.48E-2</v>
      </c>
      <c r="Z334" s="1">
        <v>0.16120000000000001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s="1">
        <v>2.2700000000000001E-2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1026</v>
      </c>
      <c r="AQ334" s="1">
        <v>9967</v>
      </c>
      <c r="AR334" t="s">
        <v>178</v>
      </c>
    </row>
    <row r="335" spans="1:44">
      <c r="A335" s="1">
        <v>115767</v>
      </c>
      <c r="B335" s="1">
        <v>94929</v>
      </c>
      <c r="C335" s="1">
        <v>86627</v>
      </c>
      <c r="D335" t="s">
        <v>1038</v>
      </c>
      <c r="E335" t="s">
        <v>1021</v>
      </c>
      <c r="F335" t="str">
        <f>VLOOKUP(E335,Tabela2[#All],2,FALSE)</f>
        <v>Válvula Nível 6</v>
      </c>
      <c r="G335" t="s">
        <v>1022</v>
      </c>
      <c r="H335" s="1">
        <v>0.27</v>
      </c>
      <c r="I335" s="1">
        <v>0.27</v>
      </c>
      <c r="J335" t="s">
        <v>65</v>
      </c>
      <c r="K335" s="1">
        <v>63.8</v>
      </c>
      <c r="L335" s="1">
        <v>19.25</v>
      </c>
      <c r="M335" s="1">
        <v>8.75</v>
      </c>
      <c r="N335" s="1">
        <v>36450</v>
      </c>
      <c r="O335" t="s">
        <v>1023</v>
      </c>
      <c r="P335" t="s">
        <v>1040</v>
      </c>
      <c r="Q335" t="s">
        <v>1025</v>
      </c>
      <c r="R335" t="s">
        <v>50</v>
      </c>
      <c r="S335" t="s">
        <v>50</v>
      </c>
      <c r="T335" s="1">
        <v>3.3732190900000001</v>
      </c>
      <c r="U335" s="1">
        <v>2.2716767899999999</v>
      </c>
      <c r="V335" s="1">
        <v>0</v>
      </c>
      <c r="W335" s="1">
        <v>0</v>
      </c>
      <c r="X335" t="s">
        <v>50</v>
      </c>
      <c r="Y335" s="1">
        <v>4.48E-2</v>
      </c>
      <c r="Z335" s="1">
        <v>0.16120000000000001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s="1">
        <v>2.2700000000000001E-2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1026</v>
      </c>
      <c r="AQ335" s="1">
        <v>9967</v>
      </c>
      <c r="AR335" t="s">
        <v>178</v>
      </c>
    </row>
    <row r="336" spans="1:44">
      <c r="A336" s="1">
        <v>36976</v>
      </c>
      <c r="B336" s="1">
        <v>32356</v>
      </c>
      <c r="C336" s="1">
        <v>31688</v>
      </c>
      <c r="D336" t="s">
        <v>1041</v>
      </c>
      <c r="E336" t="s">
        <v>1042</v>
      </c>
      <c r="F336" t="str">
        <f>VLOOKUP(E336,Tabela2[#All],2,FALSE)</f>
        <v>Válvula Nível 4</v>
      </c>
      <c r="G336" t="s">
        <v>1043</v>
      </c>
      <c r="H336" s="1">
        <v>2.7120000000000002</v>
      </c>
      <c r="I336" s="1">
        <v>2.7120000000000002</v>
      </c>
      <c r="J336" t="s">
        <v>65</v>
      </c>
      <c r="K336" s="1">
        <v>80.960048999999998</v>
      </c>
      <c r="L336" s="1">
        <v>3.3333330000000001</v>
      </c>
      <c r="M336" s="1">
        <v>11.166</v>
      </c>
      <c r="N336" s="1">
        <v>36441</v>
      </c>
      <c r="O336" t="s">
        <v>66</v>
      </c>
      <c r="P336" t="s">
        <v>67</v>
      </c>
      <c r="Q336" t="s">
        <v>68</v>
      </c>
      <c r="R336" s="1">
        <v>1.7000000000000001E-2</v>
      </c>
      <c r="S336" s="1">
        <v>0.22</v>
      </c>
      <c r="T336" s="1">
        <v>28.99703431</v>
      </c>
      <c r="U336" s="1">
        <v>28.99703431</v>
      </c>
      <c r="V336" s="1">
        <v>0</v>
      </c>
      <c r="W336" s="1">
        <v>0</v>
      </c>
      <c r="X336" t="s">
        <v>50</v>
      </c>
      <c r="Y336" t="s">
        <v>50</v>
      </c>
      <c r="Z336" t="s">
        <v>50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s="1">
        <v>0.15625</v>
      </c>
      <c r="AH336" s="1">
        <v>0.73329999999999995</v>
      </c>
      <c r="AI336" s="1">
        <v>7.85E-2</v>
      </c>
      <c r="AJ336" t="s">
        <v>50</v>
      </c>
      <c r="AK336" t="s">
        <v>50</v>
      </c>
      <c r="AL336" t="s">
        <v>50</v>
      </c>
      <c r="AM336" t="s">
        <v>50</v>
      </c>
      <c r="AN336" s="1">
        <v>3.27</v>
      </c>
      <c r="AO336" t="s">
        <v>50</v>
      </c>
      <c r="AP336" t="s">
        <v>1044</v>
      </c>
      <c r="AQ336" s="1">
        <v>414</v>
      </c>
      <c r="AR336" t="s">
        <v>70</v>
      </c>
    </row>
    <row r="337" spans="1:44">
      <c r="A337" s="1">
        <v>36977</v>
      </c>
      <c r="B337" s="1">
        <v>32374</v>
      </c>
      <c r="C337" s="1">
        <v>31707</v>
      </c>
      <c r="D337" t="s">
        <v>1045</v>
      </c>
      <c r="E337" t="s">
        <v>1046</v>
      </c>
      <c r="F337" t="str">
        <f>VLOOKUP(E337,Tabela2[#All],2,FALSE)</f>
        <v>Válvula Nível 3</v>
      </c>
      <c r="G337" t="s">
        <v>1047</v>
      </c>
      <c r="H337" s="1">
        <v>2.7</v>
      </c>
      <c r="I337" s="1">
        <v>2.7</v>
      </c>
      <c r="J337" t="s">
        <v>65</v>
      </c>
      <c r="K337" s="1">
        <v>78.260862000000003</v>
      </c>
      <c r="L337" s="1">
        <v>3.3333330000000001</v>
      </c>
      <c r="M337" s="1">
        <v>11.5</v>
      </c>
      <c r="N337" s="1">
        <v>36441</v>
      </c>
      <c r="O337" t="s">
        <v>66</v>
      </c>
      <c r="P337" t="s">
        <v>67</v>
      </c>
      <c r="Q337" t="s">
        <v>68</v>
      </c>
      <c r="R337" s="1">
        <v>0.28699999999999998</v>
      </c>
      <c r="S337" t="s">
        <v>50</v>
      </c>
      <c r="T337" s="1">
        <v>34.386695590000002</v>
      </c>
      <c r="U337" s="1">
        <v>34.386695590000002</v>
      </c>
      <c r="V337" s="1">
        <v>0</v>
      </c>
      <c r="W337" s="1">
        <v>0</v>
      </c>
      <c r="X337" t="s">
        <v>50</v>
      </c>
      <c r="Y337" t="s">
        <v>50</v>
      </c>
      <c r="Z337" t="s">
        <v>50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s="1">
        <v>0.15625</v>
      </c>
      <c r="AH337" s="1">
        <v>0.4</v>
      </c>
      <c r="AI337" s="1">
        <v>7.6600000000000001E-2</v>
      </c>
      <c r="AJ337" t="s">
        <v>50</v>
      </c>
      <c r="AK337" t="s">
        <v>50</v>
      </c>
      <c r="AL337" t="s">
        <v>50</v>
      </c>
      <c r="AM337" t="s">
        <v>50</v>
      </c>
      <c r="AN337" s="1">
        <v>2.76</v>
      </c>
      <c r="AO337" t="s">
        <v>50</v>
      </c>
      <c r="AP337" t="s">
        <v>1048</v>
      </c>
      <c r="AQ337" s="1">
        <v>1937</v>
      </c>
      <c r="AR337" t="s">
        <v>70</v>
      </c>
    </row>
    <row r="338" spans="1:44">
      <c r="A338" s="1">
        <v>36978</v>
      </c>
      <c r="B338" s="1">
        <v>32373</v>
      </c>
      <c r="C338" s="1">
        <v>31706</v>
      </c>
      <c r="D338" t="s">
        <v>1049</v>
      </c>
      <c r="E338" t="s">
        <v>1050</v>
      </c>
      <c r="F338" t="str">
        <f>VLOOKUP(E338,Tabela2[#All],2,FALSE)</f>
        <v>Válvula Nível 4</v>
      </c>
      <c r="G338" t="s">
        <v>450</v>
      </c>
      <c r="H338" s="1">
        <v>3.2360000000000002</v>
      </c>
      <c r="I338" s="1">
        <v>3.2360000000000002</v>
      </c>
      <c r="J338" t="s">
        <v>65</v>
      </c>
      <c r="K338" s="1">
        <v>78.289654999999996</v>
      </c>
      <c r="L338" s="1">
        <v>3.3</v>
      </c>
      <c r="M338" s="1">
        <v>14.5</v>
      </c>
      <c r="N338" s="1">
        <v>36441</v>
      </c>
      <c r="O338" t="s">
        <v>66</v>
      </c>
      <c r="P338" t="s">
        <v>67</v>
      </c>
      <c r="Q338" t="s">
        <v>68</v>
      </c>
      <c r="R338" s="1">
        <v>0.05</v>
      </c>
      <c r="S338" s="1">
        <v>0.37</v>
      </c>
      <c r="T338" s="1">
        <v>33.422616339999998</v>
      </c>
      <c r="U338" s="1">
        <v>33.203316340000001</v>
      </c>
      <c r="V338" s="1">
        <v>0</v>
      </c>
      <c r="W338" s="1">
        <v>0</v>
      </c>
      <c r="X338" t="s">
        <v>50</v>
      </c>
      <c r="Y338" t="s">
        <v>50</v>
      </c>
      <c r="Z338" t="s">
        <v>50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s="1">
        <v>5.3999999999999999E-2</v>
      </c>
      <c r="AH338" s="1">
        <v>0.66659999999999997</v>
      </c>
      <c r="AI338" s="1">
        <v>8.8400000000000006E-2</v>
      </c>
      <c r="AJ338" t="s">
        <v>50</v>
      </c>
      <c r="AK338" t="s">
        <v>50</v>
      </c>
      <c r="AL338" t="s">
        <v>50</v>
      </c>
      <c r="AM338" t="s">
        <v>50</v>
      </c>
      <c r="AN338" s="1">
        <v>3</v>
      </c>
      <c r="AO338" t="s">
        <v>50</v>
      </c>
      <c r="AP338" t="s">
        <v>1051</v>
      </c>
      <c r="AQ338" s="1">
        <v>1938</v>
      </c>
      <c r="AR338" t="s">
        <v>70</v>
      </c>
    </row>
    <row r="339" spans="1:44">
      <c r="A339" s="1">
        <v>36513</v>
      </c>
      <c r="B339" s="1">
        <v>32372</v>
      </c>
      <c r="C339" s="1">
        <v>31705</v>
      </c>
      <c r="D339" t="s">
        <v>1052</v>
      </c>
      <c r="E339" t="s">
        <v>1053</v>
      </c>
      <c r="F339" t="str">
        <f>VLOOKUP(E339,Tabela2[#All],2,FALSE)</f>
        <v>Válvula Nível 4</v>
      </c>
      <c r="G339" t="s">
        <v>1054</v>
      </c>
      <c r="H339" s="1">
        <v>4.7649999999999997</v>
      </c>
      <c r="I339" s="1">
        <v>4.7649999999999997</v>
      </c>
      <c r="J339" t="s">
        <v>65</v>
      </c>
      <c r="K339" s="1">
        <v>83.031578999999994</v>
      </c>
      <c r="L339" s="1">
        <v>3.2</v>
      </c>
      <c r="M339" s="1">
        <v>19</v>
      </c>
      <c r="N339" s="1">
        <v>36446</v>
      </c>
      <c r="O339" t="s">
        <v>119</v>
      </c>
      <c r="P339" t="s">
        <v>67</v>
      </c>
      <c r="Q339" t="s">
        <v>68</v>
      </c>
      <c r="R339" s="1">
        <v>0.05</v>
      </c>
      <c r="S339" s="1">
        <v>0.56000000000000005</v>
      </c>
      <c r="T339" s="1">
        <v>48.927956770000002</v>
      </c>
      <c r="U339" s="1">
        <v>48.708656769999997</v>
      </c>
      <c r="V339" s="1">
        <v>0</v>
      </c>
      <c r="W339" s="1">
        <v>0</v>
      </c>
      <c r="X339" t="s">
        <v>50</v>
      </c>
      <c r="Y339" t="s">
        <v>50</v>
      </c>
      <c r="Z339" t="s">
        <v>50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s="1">
        <v>0.3125</v>
      </c>
      <c r="AH339" s="1">
        <v>1.1212</v>
      </c>
      <c r="AI339" s="1">
        <v>0.14369999999999999</v>
      </c>
      <c r="AJ339" t="s">
        <v>50</v>
      </c>
      <c r="AK339" t="s">
        <v>50</v>
      </c>
      <c r="AL339" t="s">
        <v>50</v>
      </c>
      <c r="AM339" t="s">
        <v>50</v>
      </c>
      <c r="AN339" s="1">
        <v>4.5</v>
      </c>
      <c r="AO339" t="s">
        <v>50</v>
      </c>
      <c r="AP339" t="s">
        <v>1055</v>
      </c>
      <c r="AQ339" s="1">
        <v>2233</v>
      </c>
      <c r="AR339" t="s">
        <v>70</v>
      </c>
    </row>
    <row r="340" spans="1:44">
      <c r="A340" s="1">
        <v>36975</v>
      </c>
      <c r="B340" s="1">
        <v>32128</v>
      </c>
      <c r="C340" s="1">
        <v>31455</v>
      </c>
      <c r="D340" t="s">
        <v>1056</v>
      </c>
      <c r="E340" t="s">
        <v>63</v>
      </c>
      <c r="F340" t="str">
        <f>VLOOKUP(E340,Tabela2[#All],2,FALSE)</f>
        <v>Válvula Nível 4</v>
      </c>
      <c r="G340" t="s">
        <v>64</v>
      </c>
      <c r="H340" s="1">
        <v>2.048</v>
      </c>
      <c r="I340" s="1">
        <v>2.048</v>
      </c>
      <c r="J340" t="s">
        <v>65</v>
      </c>
      <c r="K340" s="1">
        <v>69.666667000000004</v>
      </c>
      <c r="L340" s="1">
        <v>3.5</v>
      </c>
      <c r="M340" s="1">
        <v>10.5</v>
      </c>
      <c r="N340" s="1">
        <v>36441</v>
      </c>
      <c r="O340" t="s">
        <v>66</v>
      </c>
      <c r="P340" t="s">
        <v>67</v>
      </c>
      <c r="Q340" t="s">
        <v>68</v>
      </c>
      <c r="R340" s="1">
        <v>1.7000000000000001E-2</v>
      </c>
      <c r="S340" s="1">
        <v>0.32</v>
      </c>
      <c r="T340" s="1">
        <v>23.88060758</v>
      </c>
      <c r="U340" s="1">
        <v>23.661307579999999</v>
      </c>
      <c r="V340" s="1">
        <v>0</v>
      </c>
      <c r="W340" s="1">
        <v>0</v>
      </c>
      <c r="X340" t="s">
        <v>50</v>
      </c>
      <c r="Y340" t="s">
        <v>50</v>
      </c>
      <c r="Z340" t="s">
        <v>50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s="1">
        <v>0.14280000000000001</v>
      </c>
      <c r="AH340" s="1">
        <v>0.434</v>
      </c>
      <c r="AI340" s="1">
        <v>5.7500000000000002E-2</v>
      </c>
      <c r="AJ340" t="s">
        <v>50</v>
      </c>
      <c r="AK340" t="s">
        <v>50</v>
      </c>
      <c r="AL340" t="s">
        <v>50</v>
      </c>
      <c r="AM340" t="s">
        <v>50</v>
      </c>
      <c r="AN340" s="1">
        <v>2.1</v>
      </c>
      <c r="AO340" t="s">
        <v>50</v>
      </c>
      <c r="AP340" t="s">
        <v>69</v>
      </c>
      <c r="AQ340" s="1">
        <v>2206</v>
      </c>
      <c r="AR340" t="s">
        <v>70</v>
      </c>
    </row>
    <row r="341" spans="1:44">
      <c r="A341" s="1">
        <v>36514</v>
      </c>
      <c r="B341" s="1">
        <v>32377</v>
      </c>
      <c r="C341" s="1">
        <v>31710</v>
      </c>
      <c r="D341" t="s">
        <v>1059</v>
      </c>
      <c r="E341" t="s">
        <v>1060</v>
      </c>
      <c r="F341" t="str">
        <f>VLOOKUP(E341,Tabela2[#All],2,FALSE)</f>
        <v>Válvula Nível 4</v>
      </c>
      <c r="G341" t="s">
        <v>1061</v>
      </c>
      <c r="H341" s="1">
        <v>2.76</v>
      </c>
      <c r="I341" s="1">
        <v>2.76</v>
      </c>
      <c r="J341" t="s">
        <v>65</v>
      </c>
      <c r="K341" s="1">
        <v>67.320350000000005</v>
      </c>
      <c r="L341" s="1">
        <v>3.3333330000000001</v>
      </c>
      <c r="M341" s="1">
        <v>13.666</v>
      </c>
      <c r="N341" s="1">
        <v>36441</v>
      </c>
      <c r="O341" t="s">
        <v>66</v>
      </c>
      <c r="P341" t="s">
        <v>67</v>
      </c>
      <c r="Q341" t="s">
        <v>68</v>
      </c>
      <c r="R341" t="s">
        <v>50</v>
      </c>
      <c r="S341" s="1">
        <v>0.2</v>
      </c>
      <c r="T341" s="1">
        <v>25.86536044</v>
      </c>
      <c r="U341" s="1">
        <v>25.86536044</v>
      </c>
      <c r="V341" s="1">
        <v>0</v>
      </c>
      <c r="W341" s="1">
        <v>0</v>
      </c>
      <c r="X341" t="s">
        <v>50</v>
      </c>
      <c r="Y341" t="s">
        <v>50</v>
      </c>
      <c r="Z341" t="s">
        <v>50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s="1">
        <v>0.1321</v>
      </c>
      <c r="AH341" t="s">
        <v>50</v>
      </c>
      <c r="AI341" s="1">
        <v>7.6600000000000001E-2</v>
      </c>
      <c r="AJ341" t="s">
        <v>50</v>
      </c>
      <c r="AK341" t="s">
        <v>50</v>
      </c>
      <c r="AL341" t="s">
        <v>50</v>
      </c>
      <c r="AM341" t="s">
        <v>50</v>
      </c>
      <c r="AN341" s="1">
        <v>2.1</v>
      </c>
      <c r="AO341" t="s">
        <v>50</v>
      </c>
      <c r="AP341" t="s">
        <v>1062</v>
      </c>
      <c r="AQ341" s="1">
        <v>2235</v>
      </c>
      <c r="AR341" t="s">
        <v>70</v>
      </c>
    </row>
    <row r="342" spans="1:44">
      <c r="A342" s="1">
        <v>36981</v>
      </c>
      <c r="B342" s="1">
        <v>32376</v>
      </c>
      <c r="C342" s="1">
        <v>31709</v>
      </c>
      <c r="D342" t="s">
        <v>1063</v>
      </c>
      <c r="E342" t="s">
        <v>1064</v>
      </c>
      <c r="F342" t="str">
        <f>VLOOKUP(E342,Tabela2[#All],2,FALSE)</f>
        <v>Válvula Nível 4</v>
      </c>
      <c r="G342" t="s">
        <v>1065</v>
      </c>
      <c r="H342" s="1">
        <v>2.6389999999999998</v>
      </c>
      <c r="I342" s="1">
        <v>2.6389999999999998</v>
      </c>
      <c r="J342" t="s">
        <v>65</v>
      </c>
      <c r="K342" s="1">
        <v>74.754097999999999</v>
      </c>
      <c r="L342" s="1">
        <v>3.2</v>
      </c>
      <c r="M342" s="1">
        <v>12.2</v>
      </c>
      <c r="N342" s="1">
        <v>36441</v>
      </c>
      <c r="O342" t="s">
        <v>66</v>
      </c>
      <c r="P342" t="s">
        <v>67</v>
      </c>
      <c r="Q342" t="s">
        <v>68</v>
      </c>
      <c r="R342" t="s">
        <v>50</v>
      </c>
      <c r="S342" s="1">
        <v>0.2</v>
      </c>
      <c r="T342" s="1">
        <v>24.161038319999999</v>
      </c>
      <c r="U342" s="1">
        <v>24.161038319999999</v>
      </c>
      <c r="V342" s="1">
        <v>0</v>
      </c>
      <c r="W342" s="1">
        <v>0</v>
      </c>
      <c r="X342" t="s">
        <v>50</v>
      </c>
      <c r="Y342" t="s">
        <v>50</v>
      </c>
      <c r="Z342" t="s">
        <v>50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s="1">
        <v>0.15625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s="1">
        <v>2.1</v>
      </c>
      <c r="AO342" t="s">
        <v>50</v>
      </c>
      <c r="AP342" t="s">
        <v>1066</v>
      </c>
      <c r="AQ342" s="1">
        <v>1940</v>
      </c>
      <c r="AR342" t="s">
        <v>70</v>
      </c>
    </row>
    <row r="343" spans="1:44">
      <c r="A343" s="1">
        <v>107008</v>
      </c>
      <c r="B343" s="1">
        <v>107013</v>
      </c>
      <c r="C343" s="1">
        <v>89749</v>
      </c>
      <c r="D343" t="s">
        <v>1067</v>
      </c>
      <c r="E343" t="s">
        <v>1068</v>
      </c>
      <c r="F343" t="str">
        <f>VLOOKUP(E343,Tabela2[#All],2,FALSE)</f>
        <v>FLANGE</v>
      </c>
      <c r="G343" t="s">
        <v>1069</v>
      </c>
      <c r="H343" s="1">
        <v>2.0470000000000002</v>
      </c>
      <c r="I343" s="1">
        <v>2.0470000000000002</v>
      </c>
      <c r="J343" t="s">
        <v>46</v>
      </c>
      <c r="K343" s="1">
        <v>51.663893999999999</v>
      </c>
      <c r="L343" s="1">
        <v>3</v>
      </c>
      <c r="M343" s="1">
        <v>12.02</v>
      </c>
      <c r="N343" s="1">
        <v>32958</v>
      </c>
      <c r="O343" t="s">
        <v>81</v>
      </c>
      <c r="P343" t="s">
        <v>256</v>
      </c>
      <c r="Q343" t="s">
        <v>49</v>
      </c>
      <c r="R343" t="s">
        <v>50</v>
      </c>
      <c r="S343" s="1">
        <v>1.59</v>
      </c>
      <c r="T343" s="1">
        <v>26.68853807</v>
      </c>
      <c r="U343" s="1">
        <v>18.36940942</v>
      </c>
      <c r="V343" s="1">
        <v>5.9054000000000002</v>
      </c>
      <c r="W343" s="1">
        <v>2.4255721800000001</v>
      </c>
      <c r="X343" t="s">
        <v>50</v>
      </c>
      <c r="Y343" s="1">
        <v>0.17100000000000001</v>
      </c>
      <c r="Z343" s="1">
        <v>0.34100000000000003</v>
      </c>
      <c r="AA343" t="s">
        <v>50</v>
      </c>
      <c r="AB343" t="s">
        <v>50</v>
      </c>
      <c r="AC343" s="1">
        <v>0.71399999999999997</v>
      </c>
      <c r="AD343" t="s">
        <v>50</v>
      </c>
      <c r="AE343" s="1">
        <v>5.5500000000000001E-2</v>
      </c>
      <c r="AF343" s="1">
        <v>0.2727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1070</v>
      </c>
      <c r="AQ343" s="1">
        <v>10567</v>
      </c>
      <c r="AR343" t="s">
        <v>51</v>
      </c>
    </row>
    <row r="344" spans="1:44">
      <c r="A344" s="1">
        <v>115589</v>
      </c>
      <c r="B344" s="1">
        <v>107013</v>
      </c>
      <c r="C344" s="1">
        <v>89749</v>
      </c>
      <c r="D344" t="s">
        <v>1071</v>
      </c>
      <c r="E344" t="s">
        <v>1068</v>
      </c>
      <c r="F344" t="str">
        <f>VLOOKUP(E344,Tabela2[#All],2,FALSE)</f>
        <v>FLANGE</v>
      </c>
      <c r="G344" t="s">
        <v>1069</v>
      </c>
      <c r="H344" s="1">
        <v>2.0470000000000002</v>
      </c>
      <c r="I344" s="1">
        <v>2.0470000000000002</v>
      </c>
      <c r="J344" t="s">
        <v>46</v>
      </c>
      <c r="K344" s="1">
        <v>51.663893999999999</v>
      </c>
      <c r="L344" s="1">
        <v>3</v>
      </c>
      <c r="M344" s="1">
        <v>12.02</v>
      </c>
      <c r="N344" s="1">
        <v>32958</v>
      </c>
      <c r="O344" t="s">
        <v>81</v>
      </c>
      <c r="P344" t="s">
        <v>256</v>
      </c>
      <c r="Q344" t="s">
        <v>49</v>
      </c>
      <c r="R344" t="s">
        <v>50</v>
      </c>
      <c r="S344" s="1">
        <v>1.59</v>
      </c>
      <c r="T344" s="1">
        <v>26.24722508</v>
      </c>
      <c r="U344" s="1">
        <v>18.36940942</v>
      </c>
      <c r="V344" s="1">
        <v>5.9054000000000002</v>
      </c>
      <c r="W344" s="1">
        <v>2.4255721800000001</v>
      </c>
      <c r="X344" t="s">
        <v>50</v>
      </c>
      <c r="Y344" s="1">
        <v>0.17100000000000001</v>
      </c>
      <c r="Z344" s="1">
        <v>0.34100000000000003</v>
      </c>
      <c r="AA344" t="s">
        <v>50</v>
      </c>
      <c r="AB344" t="s">
        <v>50</v>
      </c>
      <c r="AC344" s="1">
        <v>0.71399999999999997</v>
      </c>
      <c r="AD344" t="s">
        <v>50</v>
      </c>
      <c r="AE344" s="1">
        <v>5.5500000000000001E-2</v>
      </c>
      <c r="AF344" s="1">
        <v>0.2727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1070</v>
      </c>
      <c r="AQ344" s="1">
        <v>10567</v>
      </c>
      <c r="AR344" t="s">
        <v>51</v>
      </c>
    </row>
    <row r="345" spans="1:44">
      <c r="A345" s="1">
        <v>51863</v>
      </c>
      <c r="B345" s="1">
        <v>51958</v>
      </c>
      <c r="C345" s="1">
        <v>46430</v>
      </c>
      <c r="D345" t="s">
        <v>1072</v>
      </c>
      <c r="E345" t="s">
        <v>1073</v>
      </c>
      <c r="F345" t="str">
        <f>VLOOKUP(E345,Tabela2[#All],2,FALSE)</f>
        <v>MANCAL</v>
      </c>
      <c r="G345" t="s">
        <v>1074</v>
      </c>
      <c r="H345" s="1">
        <v>8.6999999999999993</v>
      </c>
      <c r="I345" s="1">
        <v>8.6999999999999993</v>
      </c>
      <c r="J345" t="s">
        <v>46</v>
      </c>
      <c r="K345" s="1">
        <v>64.864864999999995</v>
      </c>
      <c r="L345" s="1">
        <v>1</v>
      </c>
      <c r="M345" s="1">
        <v>16.649999999999999</v>
      </c>
      <c r="N345" s="1">
        <v>33012</v>
      </c>
      <c r="O345" t="s">
        <v>1075</v>
      </c>
      <c r="P345" t="s">
        <v>1076</v>
      </c>
      <c r="Q345" t="s">
        <v>76</v>
      </c>
      <c r="R345" t="s">
        <v>50</v>
      </c>
      <c r="S345" t="s">
        <v>50</v>
      </c>
      <c r="T345" s="1">
        <v>128.84660554000001</v>
      </c>
      <c r="U345" s="1">
        <v>82.021590919999994</v>
      </c>
      <c r="V345" s="1">
        <v>0</v>
      </c>
      <c r="W345" s="1">
        <v>0</v>
      </c>
      <c r="X345" t="s">
        <v>50</v>
      </c>
      <c r="Y345" s="1">
        <v>8.7999999999999995E-2</v>
      </c>
      <c r="Z345" t="s">
        <v>50</v>
      </c>
      <c r="AA345" s="1">
        <v>10.87</v>
      </c>
      <c r="AB345" s="1">
        <v>2</v>
      </c>
      <c r="AC345" t="s">
        <v>50</v>
      </c>
      <c r="AD345" t="s">
        <v>50</v>
      </c>
      <c r="AE345" s="1">
        <v>2.5</v>
      </c>
      <c r="AF345" s="1">
        <v>0.81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1077</v>
      </c>
      <c r="AQ345" s="1">
        <v>5087</v>
      </c>
      <c r="AR345" t="s">
        <v>51</v>
      </c>
    </row>
    <row r="346" spans="1:44">
      <c r="A346" s="1">
        <v>113698</v>
      </c>
      <c r="B346" s="1">
        <v>113699</v>
      </c>
      <c r="C346" s="1">
        <v>96200</v>
      </c>
      <c r="D346" t="s">
        <v>1078</v>
      </c>
      <c r="E346" t="s">
        <v>1079</v>
      </c>
      <c r="F346" t="str">
        <f>VLOOKUP(E346,Tabela2[#All],2,FALSE)</f>
        <v>GARFO CONCHA</v>
      </c>
      <c r="G346" t="s">
        <v>1080</v>
      </c>
      <c r="H346" s="1">
        <v>1.75</v>
      </c>
      <c r="I346" s="1">
        <v>1.75</v>
      </c>
      <c r="J346" t="s">
        <v>46</v>
      </c>
      <c r="K346" s="1">
        <v>54.02214</v>
      </c>
      <c r="L346" s="1">
        <v>4</v>
      </c>
      <c r="M346" s="1">
        <v>13.55</v>
      </c>
      <c r="N346" s="1">
        <v>32901</v>
      </c>
      <c r="O346" t="s">
        <v>534</v>
      </c>
      <c r="P346" t="s">
        <v>615</v>
      </c>
      <c r="Q346" t="s">
        <v>49</v>
      </c>
      <c r="R346" s="1">
        <v>0.66</v>
      </c>
      <c r="S346" t="s">
        <v>50</v>
      </c>
      <c r="T346" s="1">
        <v>30.512798100000001</v>
      </c>
      <c r="U346" s="1">
        <v>18.210820309999999</v>
      </c>
      <c r="V346" s="1">
        <v>10.0684</v>
      </c>
      <c r="W346" s="1">
        <v>2.073645</v>
      </c>
      <c r="X346" t="s">
        <v>50</v>
      </c>
      <c r="Y346" s="1">
        <v>0.13750000000000001</v>
      </c>
      <c r="Z346" s="1">
        <v>0.98299999999999998</v>
      </c>
      <c r="AA346" t="s">
        <v>50</v>
      </c>
      <c r="AB346" t="s">
        <v>50</v>
      </c>
      <c r="AC346" s="1">
        <v>1.4543999999999999</v>
      </c>
      <c r="AD346" t="s">
        <v>50</v>
      </c>
      <c r="AE346" t="s">
        <v>50</v>
      </c>
      <c r="AF346" s="1">
        <v>0.20430000000000001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1081</v>
      </c>
      <c r="AQ346" s="1">
        <v>12270</v>
      </c>
      <c r="AR346" t="s">
        <v>51</v>
      </c>
    </row>
    <row r="347" spans="1:44">
      <c r="A347" s="1">
        <v>51945</v>
      </c>
      <c r="B347" s="1">
        <v>51959</v>
      </c>
      <c r="C347" s="1">
        <v>46427</v>
      </c>
      <c r="D347" t="s">
        <v>1082</v>
      </c>
      <c r="E347" t="s">
        <v>1083</v>
      </c>
      <c r="F347" t="str">
        <f>VLOOKUP(E347,Tabela2[#All],2,FALSE)</f>
        <v>TAMPA</v>
      </c>
      <c r="G347" t="s">
        <v>1084</v>
      </c>
      <c r="H347" s="1">
        <v>2.9</v>
      </c>
      <c r="I347" s="1">
        <v>2.9</v>
      </c>
      <c r="J347" t="s">
        <v>46</v>
      </c>
      <c r="K347" s="1">
        <v>50.922978999999998</v>
      </c>
      <c r="L347" s="1">
        <v>2</v>
      </c>
      <c r="M347" s="1">
        <v>15.71</v>
      </c>
      <c r="N347" s="1">
        <v>33013</v>
      </c>
      <c r="O347" t="s">
        <v>1085</v>
      </c>
      <c r="P347" t="s">
        <v>1076</v>
      </c>
      <c r="Q347" t="s">
        <v>76</v>
      </c>
      <c r="R347" t="s">
        <v>50</v>
      </c>
      <c r="S347" t="s">
        <v>50</v>
      </c>
      <c r="T347" s="1">
        <v>37.936278440000002</v>
      </c>
      <c r="U347" s="1">
        <v>26.237482079999999</v>
      </c>
      <c r="V347" s="1">
        <v>0</v>
      </c>
      <c r="W347" s="1">
        <v>0</v>
      </c>
      <c r="X347" t="s">
        <v>50</v>
      </c>
      <c r="Y347" s="1">
        <v>0.2</v>
      </c>
      <c r="Z347" t="s">
        <v>50</v>
      </c>
      <c r="AA347" s="1">
        <v>3.3332999999999999</v>
      </c>
      <c r="AB347" s="1">
        <v>0.5504</v>
      </c>
      <c r="AC347" t="s">
        <v>50</v>
      </c>
      <c r="AD347" t="s">
        <v>50</v>
      </c>
      <c r="AE347" s="1">
        <v>0.5</v>
      </c>
      <c r="AF347" s="1">
        <v>0.39900000000000002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1086</v>
      </c>
      <c r="AQ347" s="1">
        <v>3567</v>
      </c>
      <c r="AR347" t="s">
        <v>51</v>
      </c>
    </row>
    <row r="348" spans="1:44">
      <c r="A348" s="1">
        <v>51945</v>
      </c>
      <c r="B348" s="1">
        <v>51959</v>
      </c>
      <c r="C348" s="1">
        <v>46427</v>
      </c>
      <c r="D348" t="s">
        <v>1082</v>
      </c>
      <c r="E348" t="s">
        <v>1083</v>
      </c>
      <c r="F348" t="str">
        <f>VLOOKUP(E348,Tabela2[#All],2,FALSE)</f>
        <v>TAMPA</v>
      </c>
      <c r="G348" t="s">
        <v>1087</v>
      </c>
      <c r="H348" s="1">
        <v>2.9</v>
      </c>
      <c r="I348" s="1">
        <v>2.9</v>
      </c>
      <c r="J348" t="s">
        <v>46</v>
      </c>
      <c r="K348" s="1">
        <v>50.668363999999997</v>
      </c>
      <c r="L348" s="1">
        <v>2</v>
      </c>
      <c r="M348" s="1">
        <v>15.71</v>
      </c>
      <c r="N348" s="1">
        <v>33013</v>
      </c>
      <c r="O348" t="s">
        <v>1085</v>
      </c>
      <c r="P348" t="s">
        <v>1076</v>
      </c>
      <c r="Q348" t="s">
        <v>76</v>
      </c>
      <c r="R348" t="s">
        <v>50</v>
      </c>
      <c r="S348" t="s">
        <v>50</v>
      </c>
      <c r="T348" s="1">
        <v>37.936278440000002</v>
      </c>
      <c r="U348" s="1">
        <v>26.237482079999999</v>
      </c>
      <c r="V348" s="1">
        <v>0</v>
      </c>
      <c r="W348" s="1">
        <v>0</v>
      </c>
      <c r="X348" t="s">
        <v>50</v>
      </c>
      <c r="Y348" s="1">
        <v>0.2</v>
      </c>
      <c r="Z348" t="s">
        <v>50</v>
      </c>
      <c r="AA348" s="1">
        <v>3.3332999999999999</v>
      </c>
      <c r="AB348" s="1">
        <v>0.5504</v>
      </c>
      <c r="AC348" t="s">
        <v>50</v>
      </c>
      <c r="AD348" t="s">
        <v>50</v>
      </c>
      <c r="AE348" s="1">
        <v>0.5</v>
      </c>
      <c r="AF348" s="1">
        <v>0.39900000000000002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1083</v>
      </c>
      <c r="AQ348" s="1">
        <v>3222</v>
      </c>
      <c r="AR348" t="s">
        <v>51</v>
      </c>
    </row>
    <row r="349" spans="1:44">
      <c r="A349" s="1">
        <v>51943</v>
      </c>
      <c r="B349" s="1">
        <v>51960</v>
      </c>
      <c r="C349" s="1">
        <v>46428</v>
      </c>
      <c r="D349" t="s">
        <v>1088</v>
      </c>
      <c r="E349" t="s">
        <v>1089</v>
      </c>
      <c r="F349" t="str">
        <f>VLOOKUP(E349,Tabela2[#All],2,FALSE)</f>
        <v>TAMPA</v>
      </c>
      <c r="G349" t="s">
        <v>1090</v>
      </c>
      <c r="H349" s="1">
        <v>6.42</v>
      </c>
      <c r="I349" s="1">
        <v>6.42</v>
      </c>
      <c r="J349" t="s">
        <v>46</v>
      </c>
      <c r="K349" s="1">
        <v>58.424658000000001</v>
      </c>
      <c r="L349" s="1">
        <v>1</v>
      </c>
      <c r="M349" s="1">
        <v>14.6</v>
      </c>
      <c r="N349" s="1">
        <v>33009</v>
      </c>
      <c r="O349" t="s">
        <v>74</v>
      </c>
      <c r="P349" t="s">
        <v>1076</v>
      </c>
      <c r="Q349" t="s">
        <v>76</v>
      </c>
      <c r="R349" t="s">
        <v>50</v>
      </c>
      <c r="S349" t="s">
        <v>50</v>
      </c>
      <c r="T349" s="1">
        <v>81.071318539999993</v>
      </c>
      <c r="U349" s="1">
        <v>49.494763380000002</v>
      </c>
      <c r="V349" s="1">
        <v>0</v>
      </c>
      <c r="W349" s="1">
        <v>0</v>
      </c>
      <c r="X349" t="s">
        <v>50</v>
      </c>
      <c r="Y349" s="1">
        <v>0.33</v>
      </c>
      <c r="Z349" s="1">
        <v>0.4</v>
      </c>
      <c r="AA349" s="1">
        <v>7.5</v>
      </c>
      <c r="AB349" s="1">
        <v>1.1299999999999999</v>
      </c>
      <c r="AC349" t="s">
        <v>50</v>
      </c>
      <c r="AD349" t="s">
        <v>50</v>
      </c>
      <c r="AE349" s="1">
        <v>0.72060000000000002</v>
      </c>
      <c r="AF349" s="1">
        <v>0.79800000000000004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1091</v>
      </c>
      <c r="AQ349" s="1">
        <v>3183</v>
      </c>
      <c r="AR349" t="s">
        <v>51</v>
      </c>
    </row>
    <row r="350" spans="1:44">
      <c r="A350" s="1">
        <v>36506</v>
      </c>
      <c r="B350" s="1">
        <v>39756</v>
      </c>
      <c r="C350" s="1">
        <v>31711</v>
      </c>
      <c r="D350" t="s">
        <v>1092</v>
      </c>
      <c r="E350" t="s">
        <v>1093</v>
      </c>
      <c r="F350" t="str">
        <f>VLOOKUP(E350,Tabela2[#All],2,FALSE)</f>
        <v>CORPO DE VÁLVULA COM MACHO</v>
      </c>
      <c r="G350" t="s">
        <v>1094</v>
      </c>
      <c r="H350" s="1">
        <v>3.355</v>
      </c>
      <c r="I350" s="1">
        <v>3.355</v>
      </c>
      <c r="J350" t="s">
        <v>46</v>
      </c>
      <c r="K350" s="1">
        <v>56.208053999999997</v>
      </c>
      <c r="L350" s="1">
        <v>2</v>
      </c>
      <c r="M350" s="1">
        <v>11.92</v>
      </c>
      <c r="N350" s="1">
        <v>33009</v>
      </c>
      <c r="O350" t="s">
        <v>74</v>
      </c>
      <c r="P350" t="s">
        <v>67</v>
      </c>
      <c r="Q350" t="s">
        <v>68</v>
      </c>
      <c r="R350" s="1">
        <v>0.31</v>
      </c>
      <c r="S350" t="s">
        <v>50</v>
      </c>
      <c r="T350" s="1">
        <v>42.020510000000002</v>
      </c>
      <c r="U350" s="1">
        <v>33.08872169</v>
      </c>
      <c r="V350" s="1">
        <v>0</v>
      </c>
      <c r="W350" s="1">
        <v>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  <c r="AC350" t="s">
        <v>50</v>
      </c>
      <c r="AD350" s="1">
        <v>3.6</v>
      </c>
      <c r="AE350" t="s">
        <v>50</v>
      </c>
      <c r="AF350" s="1">
        <v>0.36249900000000002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1093</v>
      </c>
      <c r="AQ350" s="1">
        <v>304</v>
      </c>
      <c r="AR350" t="s">
        <v>51</v>
      </c>
    </row>
    <row r="351" spans="1:44">
      <c r="A351" s="1">
        <v>70002</v>
      </c>
      <c r="B351" s="1">
        <v>70003</v>
      </c>
      <c r="C351" s="1">
        <v>63655</v>
      </c>
      <c r="D351" t="s">
        <v>1095</v>
      </c>
      <c r="E351" t="s">
        <v>1096</v>
      </c>
      <c r="F351" t="str">
        <f>VLOOKUP(E351,Tabela2[#All],2,FALSE)</f>
        <v>Válvula Nível 3</v>
      </c>
      <c r="G351" t="s">
        <v>1097</v>
      </c>
      <c r="H351" s="1">
        <v>1.6</v>
      </c>
      <c r="I351" s="1">
        <v>1.6</v>
      </c>
      <c r="J351" t="s">
        <v>65</v>
      </c>
      <c r="K351" s="1">
        <v>69.866842000000005</v>
      </c>
      <c r="L351" s="1">
        <v>5</v>
      </c>
      <c r="M351" s="1">
        <v>12.166</v>
      </c>
      <c r="N351" s="1">
        <v>36441</v>
      </c>
      <c r="O351" t="s">
        <v>66</v>
      </c>
      <c r="P351" t="s">
        <v>113</v>
      </c>
      <c r="Q351" t="s">
        <v>68</v>
      </c>
      <c r="R351" s="1">
        <v>0.08</v>
      </c>
      <c r="S351" t="s">
        <v>50</v>
      </c>
      <c r="T351" s="1">
        <v>20.997276719999999</v>
      </c>
      <c r="U351" s="1">
        <v>20.940747890000001</v>
      </c>
      <c r="V351" s="1">
        <v>0</v>
      </c>
      <c r="W351" s="1">
        <v>0</v>
      </c>
      <c r="X351" t="s">
        <v>50</v>
      </c>
      <c r="Y351" t="s">
        <v>50</v>
      </c>
      <c r="Z351" t="s">
        <v>50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s="1">
        <v>0.111</v>
      </c>
      <c r="AH351" s="1">
        <v>0.6</v>
      </c>
      <c r="AI351" s="1">
        <v>7.0000000000000007E-2</v>
      </c>
      <c r="AJ351" t="s">
        <v>50</v>
      </c>
      <c r="AK351" t="s">
        <v>50</v>
      </c>
      <c r="AL351" t="s">
        <v>50</v>
      </c>
      <c r="AM351" t="s">
        <v>50</v>
      </c>
      <c r="AN351" s="1">
        <v>1.2</v>
      </c>
      <c r="AO351" t="s">
        <v>50</v>
      </c>
      <c r="AP351" t="s">
        <v>1098</v>
      </c>
      <c r="AQ351" s="1">
        <v>6647</v>
      </c>
      <c r="AR351" t="s">
        <v>70</v>
      </c>
    </row>
    <row r="352" spans="1:44">
      <c r="A352" s="1">
        <v>69758</v>
      </c>
      <c r="B352" s="1">
        <v>69760</v>
      </c>
      <c r="C352" s="1">
        <v>63430</v>
      </c>
      <c r="D352" t="s">
        <v>1099</v>
      </c>
      <c r="E352" t="s">
        <v>1100</v>
      </c>
      <c r="F352" t="str">
        <f>VLOOKUP(E352,Tabela2[#All],2,FALSE)</f>
        <v>Válvula Nível 3</v>
      </c>
      <c r="G352" t="s">
        <v>1101</v>
      </c>
      <c r="H352" s="1">
        <v>1.65</v>
      </c>
      <c r="I352" s="1">
        <v>1.65</v>
      </c>
      <c r="J352" t="s">
        <v>65</v>
      </c>
      <c r="K352" s="1">
        <v>66.714038000000002</v>
      </c>
      <c r="L352" s="1">
        <v>5</v>
      </c>
      <c r="M352" s="1">
        <v>12.666</v>
      </c>
      <c r="N352" s="1">
        <v>36441</v>
      </c>
      <c r="O352" t="s">
        <v>66</v>
      </c>
      <c r="P352" t="s">
        <v>113</v>
      </c>
      <c r="Q352" t="s">
        <v>68</v>
      </c>
      <c r="R352" s="1">
        <v>0.06</v>
      </c>
      <c r="S352" t="s">
        <v>50</v>
      </c>
      <c r="T352" s="1">
        <v>22.518788319999999</v>
      </c>
      <c r="U352" s="1">
        <v>22.433995150000001</v>
      </c>
      <c r="V352" s="1">
        <v>0</v>
      </c>
      <c r="W352" s="1">
        <v>0</v>
      </c>
      <c r="X352" t="s">
        <v>50</v>
      </c>
      <c r="Y352" t="s">
        <v>50</v>
      </c>
      <c r="Z352" t="s">
        <v>50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s="1">
        <v>0.111</v>
      </c>
      <c r="AH352" s="1">
        <v>0.60599999999999998</v>
      </c>
      <c r="AI352" s="1">
        <v>0.115</v>
      </c>
      <c r="AJ352" t="s">
        <v>50</v>
      </c>
      <c r="AK352" t="s">
        <v>50</v>
      </c>
      <c r="AL352" t="s">
        <v>50</v>
      </c>
      <c r="AM352" t="s">
        <v>50</v>
      </c>
      <c r="AN352" s="1">
        <v>1.95</v>
      </c>
      <c r="AO352" t="s">
        <v>50</v>
      </c>
      <c r="AP352" t="s">
        <v>1102</v>
      </c>
      <c r="AQ352" s="1">
        <v>6467</v>
      </c>
      <c r="AR352" t="s">
        <v>70</v>
      </c>
    </row>
    <row r="353" spans="1:44">
      <c r="A353" s="1">
        <v>44621</v>
      </c>
      <c r="B353" s="1">
        <v>44622</v>
      </c>
      <c r="C353" s="1">
        <v>39678</v>
      </c>
      <c r="D353" t="s">
        <v>1103</v>
      </c>
      <c r="E353" t="s">
        <v>1104</v>
      </c>
      <c r="F353" t="str">
        <f>VLOOKUP(E353,Tabela2[#All],2,FALSE)</f>
        <v>Válvula Nível 4</v>
      </c>
      <c r="G353" t="s">
        <v>1105</v>
      </c>
      <c r="H353" s="1">
        <v>5.05</v>
      </c>
      <c r="I353" s="1">
        <v>5.05</v>
      </c>
      <c r="J353" t="s">
        <v>65</v>
      </c>
      <c r="K353" s="1">
        <v>65.419354999999996</v>
      </c>
      <c r="L353" s="1">
        <v>1.6</v>
      </c>
      <c r="M353" s="1">
        <v>12.4</v>
      </c>
      <c r="N353" s="1">
        <v>36441</v>
      </c>
      <c r="O353" t="s">
        <v>66</v>
      </c>
      <c r="P353" t="s">
        <v>113</v>
      </c>
      <c r="Q353" t="s">
        <v>68</v>
      </c>
      <c r="R353" s="1">
        <v>0.03</v>
      </c>
      <c r="S353" s="1">
        <v>0.57999999999999996</v>
      </c>
      <c r="T353" s="1">
        <v>52.222460499999997</v>
      </c>
      <c r="U353" s="1">
        <v>51.80871733</v>
      </c>
      <c r="V353" s="1">
        <v>0</v>
      </c>
      <c r="W353" s="1">
        <v>0</v>
      </c>
      <c r="X353" t="s">
        <v>50</v>
      </c>
      <c r="Y353" t="s">
        <v>50</v>
      </c>
      <c r="Z353" t="s">
        <v>50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s="1">
        <v>0.41089999999999999</v>
      </c>
      <c r="AH353" s="1">
        <v>1</v>
      </c>
      <c r="AI353" s="1">
        <v>0.1</v>
      </c>
      <c r="AJ353" t="s">
        <v>50</v>
      </c>
      <c r="AK353" t="s">
        <v>50</v>
      </c>
      <c r="AL353" t="s">
        <v>50</v>
      </c>
      <c r="AM353" t="s">
        <v>50</v>
      </c>
      <c r="AN353" s="1">
        <v>3.99</v>
      </c>
      <c r="AO353" t="s">
        <v>50</v>
      </c>
      <c r="AP353" t="s">
        <v>1106</v>
      </c>
      <c r="AQ353" s="1">
        <v>2523</v>
      </c>
      <c r="AR353" t="s">
        <v>70</v>
      </c>
    </row>
    <row r="354" spans="1:44">
      <c r="A354" s="1">
        <v>44614</v>
      </c>
      <c r="B354" s="1">
        <v>44615</v>
      </c>
      <c r="C354" s="1">
        <v>39672</v>
      </c>
      <c r="D354" t="s">
        <v>1107</v>
      </c>
      <c r="E354" t="s">
        <v>1108</v>
      </c>
      <c r="F354" t="str">
        <f>VLOOKUP(E354,Tabela2[#All],2,FALSE)</f>
        <v>Válvula Nível 4</v>
      </c>
      <c r="G354" t="s">
        <v>1109</v>
      </c>
      <c r="H354" s="1">
        <v>3.81</v>
      </c>
      <c r="I354" s="1">
        <v>3.81</v>
      </c>
      <c r="J354" t="s">
        <v>65</v>
      </c>
      <c r="K354" s="1">
        <v>72.186047000000002</v>
      </c>
      <c r="L354" s="1">
        <v>3.2</v>
      </c>
      <c r="M354" s="1">
        <v>17.2</v>
      </c>
      <c r="N354" s="1">
        <v>36441</v>
      </c>
      <c r="O354" t="s">
        <v>66</v>
      </c>
      <c r="P354" t="s">
        <v>113</v>
      </c>
      <c r="Q354" t="s">
        <v>68</v>
      </c>
      <c r="R354" s="1">
        <v>0.03</v>
      </c>
      <c r="S354" s="1">
        <v>0.38</v>
      </c>
      <c r="T354" s="1">
        <v>40.230864750000002</v>
      </c>
      <c r="U354" s="1">
        <v>39.831253820000001</v>
      </c>
      <c r="V354" s="1">
        <v>0</v>
      </c>
      <c r="W354" s="1">
        <v>0</v>
      </c>
      <c r="X354" t="s">
        <v>50</v>
      </c>
      <c r="Y354" t="s">
        <v>50</v>
      </c>
      <c r="Z354" t="s">
        <v>50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s="1">
        <v>0.25</v>
      </c>
      <c r="AH354" s="1">
        <v>1.081</v>
      </c>
      <c r="AI354" s="1">
        <v>0.1071</v>
      </c>
      <c r="AJ354" t="s">
        <v>50</v>
      </c>
      <c r="AK354" t="s">
        <v>50</v>
      </c>
      <c r="AL354" t="s">
        <v>50</v>
      </c>
      <c r="AM354" t="s">
        <v>50</v>
      </c>
      <c r="AN354" s="1">
        <v>3.6</v>
      </c>
      <c r="AO354" t="s">
        <v>50</v>
      </c>
      <c r="AP354" t="s">
        <v>1110</v>
      </c>
      <c r="AQ354" s="1">
        <v>2521</v>
      </c>
      <c r="AR354" t="s">
        <v>70</v>
      </c>
    </row>
    <row r="355" spans="1:44">
      <c r="A355" s="1">
        <v>53731</v>
      </c>
      <c r="B355" s="1">
        <v>53732</v>
      </c>
      <c r="C355" s="1">
        <v>48106</v>
      </c>
      <c r="D355" t="s">
        <v>1111</v>
      </c>
      <c r="E355" t="s">
        <v>1112</v>
      </c>
      <c r="F355" t="str">
        <f>VLOOKUP(E355,Tabela2[#All],2,FALSE)</f>
        <v>Válvula Nível 4</v>
      </c>
      <c r="G355" t="s">
        <v>1113</v>
      </c>
      <c r="H355" s="1">
        <v>5.19</v>
      </c>
      <c r="I355" s="1">
        <v>5.19</v>
      </c>
      <c r="J355" t="s">
        <v>65</v>
      </c>
      <c r="K355" s="1">
        <v>66.967742000000001</v>
      </c>
      <c r="L355" s="1">
        <v>1.6</v>
      </c>
      <c r="M355" s="1">
        <v>12.4</v>
      </c>
      <c r="N355" s="1">
        <v>36441</v>
      </c>
      <c r="O355" t="s">
        <v>66</v>
      </c>
      <c r="P355" t="s">
        <v>113</v>
      </c>
      <c r="Q355" t="s">
        <v>68</v>
      </c>
      <c r="R355" s="1">
        <v>0.03</v>
      </c>
      <c r="S355" s="1">
        <v>0.48</v>
      </c>
      <c r="T355" s="1">
        <v>64.771032109999993</v>
      </c>
      <c r="U355" s="1">
        <v>64.406751580000005</v>
      </c>
      <c r="V355" s="1">
        <v>0</v>
      </c>
      <c r="W355" s="1">
        <v>0</v>
      </c>
      <c r="X355" t="s">
        <v>50</v>
      </c>
      <c r="Y355" t="s">
        <v>50</v>
      </c>
      <c r="Z355" t="s">
        <v>50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s="1">
        <v>0.2</v>
      </c>
      <c r="AH355" s="1">
        <v>1.0920000000000001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s="1">
        <v>7.5</v>
      </c>
      <c r="AO355" t="s">
        <v>50</v>
      </c>
      <c r="AP355" t="s">
        <v>1114</v>
      </c>
      <c r="AQ355" s="1">
        <v>3428</v>
      </c>
      <c r="AR355" t="s">
        <v>70</v>
      </c>
    </row>
    <row r="356" spans="1:44">
      <c r="A356" s="1">
        <v>69918</v>
      </c>
      <c r="B356" s="1">
        <v>69920</v>
      </c>
      <c r="C356" s="1">
        <v>63570</v>
      </c>
      <c r="D356" t="s">
        <v>1115</v>
      </c>
      <c r="E356" t="s">
        <v>1116</v>
      </c>
      <c r="F356" t="str">
        <f>VLOOKUP(E356,Tabela2[#All],2,FALSE)</f>
        <v>Válvula Nível 3</v>
      </c>
      <c r="G356" t="s">
        <v>1117</v>
      </c>
      <c r="H356" s="1">
        <v>3.45</v>
      </c>
      <c r="I356" s="1">
        <v>3.45</v>
      </c>
      <c r="J356" t="s">
        <v>65</v>
      </c>
      <c r="K356" s="1">
        <v>76.666667000000004</v>
      </c>
      <c r="L356" s="1">
        <v>3.2</v>
      </c>
      <c r="M356" s="1">
        <v>14.4</v>
      </c>
      <c r="N356" s="1">
        <v>36441</v>
      </c>
      <c r="O356" t="s">
        <v>66</v>
      </c>
      <c r="P356" t="s">
        <v>113</v>
      </c>
      <c r="Q356" t="s">
        <v>68</v>
      </c>
      <c r="R356" s="1">
        <v>0.18</v>
      </c>
      <c r="S356" t="s">
        <v>50</v>
      </c>
      <c r="T356" s="1">
        <v>42.530173660000003</v>
      </c>
      <c r="U356" s="1">
        <v>42.409040580000003</v>
      </c>
      <c r="V356" s="1">
        <v>0</v>
      </c>
      <c r="W356" s="1">
        <v>0</v>
      </c>
      <c r="X356" t="s">
        <v>50</v>
      </c>
      <c r="Y356" t="s">
        <v>50</v>
      </c>
      <c r="Z356" t="s">
        <v>50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s="1">
        <v>0.25</v>
      </c>
      <c r="AH356" s="1">
        <v>0.5</v>
      </c>
      <c r="AI356" s="1">
        <v>0.163934</v>
      </c>
      <c r="AJ356" t="s">
        <v>50</v>
      </c>
      <c r="AK356" t="s">
        <v>50</v>
      </c>
      <c r="AL356" t="s">
        <v>50</v>
      </c>
      <c r="AM356" t="s">
        <v>50</v>
      </c>
      <c r="AN356" s="1">
        <v>3.6</v>
      </c>
      <c r="AO356" t="s">
        <v>50</v>
      </c>
      <c r="AP356" t="s">
        <v>1118</v>
      </c>
      <c r="AQ356" s="1">
        <v>6587</v>
      </c>
      <c r="AR356" t="s">
        <v>70</v>
      </c>
    </row>
    <row r="357" spans="1:44">
      <c r="A357" s="1">
        <v>69768</v>
      </c>
      <c r="B357" s="1">
        <v>69770</v>
      </c>
      <c r="C357" s="1">
        <v>63435</v>
      </c>
      <c r="D357" t="s">
        <v>1119</v>
      </c>
      <c r="E357" t="s">
        <v>1120</v>
      </c>
      <c r="F357" t="str">
        <f>VLOOKUP(E357,Tabela2[#All],2,FALSE)</f>
        <v>Válvula Nível 3</v>
      </c>
      <c r="G357" t="s">
        <v>1121</v>
      </c>
      <c r="H357" s="1">
        <v>3.63</v>
      </c>
      <c r="I357" s="1">
        <v>3.63</v>
      </c>
      <c r="J357" t="s">
        <v>65</v>
      </c>
      <c r="K357" s="1">
        <v>78.486485999999999</v>
      </c>
      <c r="L357" s="1">
        <v>3.2</v>
      </c>
      <c r="M357" s="1">
        <v>14.8</v>
      </c>
      <c r="N357" s="1">
        <v>36441</v>
      </c>
      <c r="O357" t="s">
        <v>66</v>
      </c>
      <c r="P357" t="s">
        <v>113</v>
      </c>
      <c r="Q357" t="s">
        <v>68</v>
      </c>
      <c r="R357" s="1">
        <v>0.13</v>
      </c>
      <c r="S357" t="s">
        <v>50</v>
      </c>
      <c r="T357" s="1">
        <v>33.27850282</v>
      </c>
      <c r="U357" s="1">
        <v>33.15736974</v>
      </c>
      <c r="V357" s="1">
        <v>0</v>
      </c>
      <c r="W357" s="1">
        <v>0</v>
      </c>
      <c r="X357" t="s">
        <v>50</v>
      </c>
      <c r="Y357" t="s">
        <v>50</v>
      </c>
      <c r="Z357" t="s">
        <v>50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s="1">
        <v>0.25</v>
      </c>
      <c r="AH357" s="1">
        <v>0.75</v>
      </c>
      <c r="AI357" s="1">
        <v>6.8182000000000006E-2</v>
      </c>
      <c r="AJ357" t="s">
        <v>50</v>
      </c>
      <c r="AK357" t="s">
        <v>50</v>
      </c>
      <c r="AL357" t="s">
        <v>50</v>
      </c>
      <c r="AM357" t="s">
        <v>50</v>
      </c>
      <c r="AN357" s="1">
        <v>1.95</v>
      </c>
      <c r="AO357" t="s">
        <v>50</v>
      </c>
      <c r="AP357" t="s">
        <v>1122</v>
      </c>
      <c r="AQ357" s="1">
        <v>6487</v>
      </c>
      <c r="AR357" t="s">
        <v>70</v>
      </c>
    </row>
    <row r="358" spans="1:44">
      <c r="A358" s="1">
        <v>69997</v>
      </c>
      <c r="B358" s="1">
        <v>69998</v>
      </c>
      <c r="C358" s="1">
        <v>63650</v>
      </c>
      <c r="D358" t="s">
        <v>1123</v>
      </c>
      <c r="E358" t="s">
        <v>1124</v>
      </c>
      <c r="F358" t="str">
        <f>VLOOKUP(E358,Tabela2[#All],2,FALSE)</f>
        <v>Válvula Nível 3</v>
      </c>
      <c r="G358" t="s">
        <v>1125</v>
      </c>
      <c r="H358" s="1">
        <v>1.6</v>
      </c>
      <c r="I358" s="1">
        <v>1.6</v>
      </c>
      <c r="J358" t="s">
        <v>65</v>
      </c>
      <c r="K358" s="1">
        <v>66.666667000000004</v>
      </c>
      <c r="L358" s="1">
        <v>5</v>
      </c>
      <c r="M358" s="1">
        <v>12</v>
      </c>
      <c r="N358" s="1">
        <v>36441</v>
      </c>
      <c r="O358" t="s">
        <v>66</v>
      </c>
      <c r="P358" t="s">
        <v>113</v>
      </c>
      <c r="Q358" t="s">
        <v>68</v>
      </c>
      <c r="R358" s="1">
        <v>0.08</v>
      </c>
      <c r="S358" t="s">
        <v>50</v>
      </c>
      <c r="T358" s="1">
        <v>22.931861470000001</v>
      </c>
      <c r="U358" s="1">
        <v>22.841415380000001</v>
      </c>
      <c r="V358" s="1">
        <v>0</v>
      </c>
      <c r="W358" s="1">
        <v>0</v>
      </c>
      <c r="X358" t="s">
        <v>50</v>
      </c>
      <c r="Y358" t="s">
        <v>50</v>
      </c>
      <c r="Z358" t="s">
        <v>50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s="1">
        <v>0.111</v>
      </c>
      <c r="AH358" s="1">
        <v>1.169</v>
      </c>
      <c r="AI358" s="1">
        <v>0.115</v>
      </c>
      <c r="AJ358" t="s">
        <v>50</v>
      </c>
      <c r="AK358" t="s">
        <v>50</v>
      </c>
      <c r="AL358" t="s">
        <v>50</v>
      </c>
      <c r="AM358" t="s">
        <v>50</v>
      </c>
      <c r="AN358" s="1">
        <v>1.95</v>
      </c>
      <c r="AO358" t="s">
        <v>50</v>
      </c>
      <c r="AP358" t="s">
        <v>1126</v>
      </c>
      <c r="AQ358" s="1">
        <v>6627</v>
      </c>
      <c r="AR358" t="s">
        <v>70</v>
      </c>
    </row>
    <row r="359" spans="1:44">
      <c r="A359" s="1">
        <v>44193</v>
      </c>
      <c r="B359" s="1">
        <v>44194</v>
      </c>
      <c r="C359" s="1">
        <v>39253</v>
      </c>
      <c r="D359" t="s">
        <v>1127</v>
      </c>
      <c r="E359" t="s">
        <v>1128</v>
      </c>
      <c r="F359" t="str">
        <f>VLOOKUP(E359,Tabela2[#All],2,FALSE)</f>
        <v>Válvula Nível 4</v>
      </c>
      <c r="G359" t="s">
        <v>1129</v>
      </c>
      <c r="H359" s="1">
        <v>1.9</v>
      </c>
      <c r="I359" s="1">
        <v>1.9</v>
      </c>
      <c r="J359" t="s">
        <v>65</v>
      </c>
      <c r="K359" s="1">
        <v>72.876711999999998</v>
      </c>
      <c r="L359" s="1">
        <v>3.5</v>
      </c>
      <c r="M359" s="1">
        <v>9.125</v>
      </c>
      <c r="N359" s="1">
        <v>36441</v>
      </c>
      <c r="O359" t="s">
        <v>66</v>
      </c>
      <c r="P359" t="s">
        <v>113</v>
      </c>
      <c r="Q359" t="s">
        <v>68</v>
      </c>
      <c r="R359" s="1">
        <v>0.01</v>
      </c>
      <c r="S359" s="1">
        <v>0.20499999999999999</v>
      </c>
      <c r="T359" s="1">
        <v>28.893252700000001</v>
      </c>
      <c r="U359" s="1">
        <v>28.86675477</v>
      </c>
      <c r="V359" s="1">
        <v>0</v>
      </c>
      <c r="W359" s="1">
        <v>0</v>
      </c>
      <c r="X359" t="s">
        <v>50</v>
      </c>
      <c r="Y359" t="s">
        <v>50</v>
      </c>
      <c r="Z359" t="s">
        <v>50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s="1">
        <v>0.25</v>
      </c>
      <c r="AH359" s="1">
        <v>0.99199999999999999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s="1">
        <v>3</v>
      </c>
      <c r="AO359" t="s">
        <v>50</v>
      </c>
      <c r="AP359" t="s">
        <v>1130</v>
      </c>
      <c r="AQ359" s="1">
        <v>2511</v>
      </c>
      <c r="AR359" t="s">
        <v>70</v>
      </c>
    </row>
    <row r="360" spans="1:44">
      <c r="A360" s="1">
        <v>44606</v>
      </c>
      <c r="B360" s="1">
        <v>44607</v>
      </c>
      <c r="C360" s="1">
        <v>39664</v>
      </c>
      <c r="D360" t="s">
        <v>1132</v>
      </c>
      <c r="E360" t="s">
        <v>1133</v>
      </c>
      <c r="F360" t="str">
        <f>VLOOKUP(E360,Tabela2[#All],2,FALSE)</f>
        <v>Válvula Nível 4</v>
      </c>
      <c r="G360" t="s">
        <v>1134</v>
      </c>
      <c r="H360" s="1">
        <v>2.57</v>
      </c>
      <c r="I360" s="1">
        <v>2.57</v>
      </c>
      <c r="J360" t="s">
        <v>65</v>
      </c>
      <c r="K360" s="1">
        <v>78.787870999999996</v>
      </c>
      <c r="L360" s="1">
        <v>3.3333330000000001</v>
      </c>
      <c r="M360" s="1">
        <v>11</v>
      </c>
      <c r="N360" s="1">
        <v>36441</v>
      </c>
      <c r="O360" t="s">
        <v>66</v>
      </c>
      <c r="P360" t="s">
        <v>113</v>
      </c>
      <c r="Q360" t="s">
        <v>68</v>
      </c>
      <c r="R360" s="1">
        <v>0.01</v>
      </c>
      <c r="S360" s="1">
        <v>0.22</v>
      </c>
      <c r="T360" s="1">
        <v>35.820146530000002</v>
      </c>
      <c r="U360" s="1">
        <v>35.438200799999997</v>
      </c>
      <c r="V360" s="1">
        <v>0</v>
      </c>
      <c r="W360" s="1">
        <v>0</v>
      </c>
      <c r="X360" t="s">
        <v>50</v>
      </c>
      <c r="Y360" t="s">
        <v>50</v>
      </c>
      <c r="Z360" t="s">
        <v>50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s="1">
        <v>0.25</v>
      </c>
      <c r="AH360" s="1">
        <v>0.93500000000000005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s="1">
        <v>4.5</v>
      </c>
      <c r="AO360" t="s">
        <v>50</v>
      </c>
      <c r="AP360" t="s">
        <v>1135</v>
      </c>
      <c r="AQ360" s="1">
        <v>2515</v>
      </c>
      <c r="AR360" t="s">
        <v>70</v>
      </c>
    </row>
    <row r="361" spans="1:44">
      <c r="A361" s="1">
        <v>69710</v>
      </c>
      <c r="B361" s="1">
        <v>69702</v>
      </c>
      <c r="C361" s="1">
        <v>63392</v>
      </c>
      <c r="D361" t="s">
        <v>1136</v>
      </c>
      <c r="E361" t="s">
        <v>1137</v>
      </c>
      <c r="F361" t="str">
        <f>VLOOKUP(E361,Tabela2[#All],2,FALSE)</f>
        <v>Válvula Nível 6</v>
      </c>
      <c r="G361" t="s">
        <v>1138</v>
      </c>
      <c r="H361" s="1">
        <v>0.63500000000000001</v>
      </c>
      <c r="I361" s="1">
        <v>0.63500000000000001</v>
      </c>
      <c r="J361" t="s">
        <v>65</v>
      </c>
      <c r="K361" s="1">
        <v>74.707704000000007</v>
      </c>
      <c r="L361" s="1">
        <v>13.7142</v>
      </c>
      <c r="M361" s="1">
        <v>12.85</v>
      </c>
      <c r="N361" s="1">
        <v>36441</v>
      </c>
      <c r="O361" t="s">
        <v>66</v>
      </c>
      <c r="P361" t="s">
        <v>113</v>
      </c>
      <c r="Q361" t="s">
        <v>68</v>
      </c>
      <c r="R361" t="s">
        <v>50</v>
      </c>
      <c r="S361" t="s">
        <v>50</v>
      </c>
      <c r="T361" s="1">
        <v>5.8487761300000001</v>
      </c>
      <c r="U361" s="1">
        <v>5.8252224899999998</v>
      </c>
      <c r="V361" s="1">
        <v>0</v>
      </c>
      <c r="W361" s="1">
        <v>0</v>
      </c>
      <c r="X361" t="s">
        <v>50</v>
      </c>
      <c r="Y361" t="s">
        <v>50</v>
      </c>
      <c r="Z361" t="s">
        <v>50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s="1">
        <v>4.2000000000000003E-2</v>
      </c>
      <c r="AH361" t="s">
        <v>50</v>
      </c>
      <c r="AI361" s="1">
        <v>7.0000000000000007E-2</v>
      </c>
      <c r="AJ361" t="s">
        <v>50</v>
      </c>
      <c r="AK361" t="s">
        <v>50</v>
      </c>
      <c r="AL361" t="s">
        <v>50</v>
      </c>
      <c r="AM361" t="s">
        <v>50</v>
      </c>
      <c r="AN361" s="1">
        <v>0.2</v>
      </c>
      <c r="AO361" t="s">
        <v>50</v>
      </c>
      <c r="AP361" t="s">
        <v>1139</v>
      </c>
      <c r="AQ361" s="1">
        <v>6448</v>
      </c>
      <c r="AR361" t="s">
        <v>70</v>
      </c>
    </row>
    <row r="362" spans="1:44">
      <c r="A362" s="1">
        <v>53730</v>
      </c>
      <c r="B362" s="1">
        <v>53733</v>
      </c>
      <c r="C362" s="1">
        <v>48107</v>
      </c>
      <c r="D362" t="s">
        <v>1140</v>
      </c>
      <c r="E362" t="s">
        <v>1141</v>
      </c>
      <c r="F362" t="str">
        <f>VLOOKUP(E362,Tabela2[#All],2,FALSE)</f>
        <v>Válvula Nível 5</v>
      </c>
      <c r="G362" t="s">
        <v>1142</v>
      </c>
      <c r="H362" s="1">
        <v>1.25</v>
      </c>
      <c r="I362" s="1">
        <v>1.25</v>
      </c>
      <c r="J362" t="s">
        <v>65</v>
      </c>
      <c r="K362" s="1">
        <v>74.738439999999997</v>
      </c>
      <c r="L362" s="1">
        <v>6.8571</v>
      </c>
      <c r="M362" s="1">
        <v>11.285</v>
      </c>
      <c r="N362" s="1">
        <v>36441</v>
      </c>
      <c r="O362" t="s">
        <v>66</v>
      </c>
      <c r="P362" t="s">
        <v>113</v>
      </c>
      <c r="Q362" t="s">
        <v>68</v>
      </c>
      <c r="R362" t="s">
        <v>50</v>
      </c>
      <c r="S362" t="s">
        <v>50</v>
      </c>
      <c r="T362" s="1">
        <v>10.9872259</v>
      </c>
      <c r="U362" s="1">
        <v>10.6582759</v>
      </c>
      <c r="V362" s="1">
        <v>0</v>
      </c>
      <c r="W362" s="1">
        <v>0</v>
      </c>
      <c r="X362" t="s">
        <v>50</v>
      </c>
      <c r="Y362" t="s">
        <v>50</v>
      </c>
      <c r="Z362" t="s">
        <v>50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s="1">
        <v>0.119048</v>
      </c>
      <c r="AH362" s="1">
        <v>0.73099999999999998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t="s">
        <v>1143</v>
      </c>
      <c r="AQ362" s="1">
        <v>3429</v>
      </c>
      <c r="AR362" t="s">
        <v>70</v>
      </c>
    </row>
    <row r="363" spans="1:44">
      <c r="A363" s="1">
        <v>36515</v>
      </c>
      <c r="B363" s="1">
        <v>36086</v>
      </c>
      <c r="C363" s="1">
        <v>33842</v>
      </c>
      <c r="D363" t="s">
        <v>1144</v>
      </c>
      <c r="E363" t="s">
        <v>1145</v>
      </c>
      <c r="F363" t="str">
        <f>VLOOKUP(E363,Tabela2[#All],2,FALSE)</f>
        <v>Válvula Nível 4</v>
      </c>
      <c r="G363" t="s">
        <v>1146</v>
      </c>
      <c r="H363" s="1">
        <v>1.167</v>
      </c>
      <c r="I363" s="1">
        <v>1.167</v>
      </c>
      <c r="J363" t="s">
        <v>65</v>
      </c>
      <c r="K363" s="1">
        <v>68.971429000000001</v>
      </c>
      <c r="L363" s="1">
        <v>6</v>
      </c>
      <c r="M363" s="1">
        <v>10.5</v>
      </c>
      <c r="N363" s="1">
        <v>36441</v>
      </c>
      <c r="O363" t="s">
        <v>66</v>
      </c>
      <c r="P363" t="s">
        <v>67</v>
      </c>
      <c r="Q363" t="s">
        <v>68</v>
      </c>
      <c r="R363" t="s">
        <v>50</v>
      </c>
      <c r="S363" s="1">
        <v>8.8999999999999996E-2</v>
      </c>
      <c r="T363" s="1">
        <v>14.39560612</v>
      </c>
      <c r="U363" s="1">
        <v>14.17630612</v>
      </c>
      <c r="V363" s="1">
        <v>0</v>
      </c>
      <c r="W363" s="1">
        <v>0</v>
      </c>
      <c r="X363" t="s">
        <v>50</v>
      </c>
      <c r="Y363" t="s">
        <v>50</v>
      </c>
      <c r="Z363" t="s">
        <v>50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s="1">
        <v>0.10416599999999999</v>
      </c>
      <c r="AH363" s="1">
        <v>1.5198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t="s">
        <v>1147</v>
      </c>
      <c r="AQ363" s="1">
        <v>2292</v>
      </c>
      <c r="AR363" t="s">
        <v>70</v>
      </c>
    </row>
    <row r="364" spans="1:44">
      <c r="A364" s="1">
        <v>32125</v>
      </c>
      <c r="B364" s="1">
        <v>32128</v>
      </c>
      <c r="C364" s="1">
        <v>31455</v>
      </c>
      <c r="D364" t="s">
        <v>1148</v>
      </c>
      <c r="E364" t="s">
        <v>63</v>
      </c>
      <c r="F364" t="str">
        <f>VLOOKUP(E364,Tabela2[#All],2,FALSE)</f>
        <v>Válvula Nível 4</v>
      </c>
      <c r="G364" t="s">
        <v>64</v>
      </c>
      <c r="H364" s="1">
        <v>1.54</v>
      </c>
      <c r="I364" s="1">
        <v>1.54</v>
      </c>
      <c r="J364" t="s">
        <v>65</v>
      </c>
      <c r="K364" s="1">
        <v>69.666667000000004</v>
      </c>
      <c r="L364" s="1">
        <v>3.5</v>
      </c>
      <c r="M364" s="1">
        <v>10.5</v>
      </c>
      <c r="N364" s="1">
        <v>36441</v>
      </c>
      <c r="O364" t="s">
        <v>66</v>
      </c>
      <c r="P364" t="s">
        <v>67</v>
      </c>
      <c r="Q364" t="s">
        <v>68</v>
      </c>
      <c r="R364" s="1">
        <v>1.7000000000000001E-2</v>
      </c>
      <c r="S364" s="1">
        <v>0.32</v>
      </c>
      <c r="T364" s="1">
        <v>47.723197579999997</v>
      </c>
      <c r="U364" s="1">
        <v>23.661307579999999</v>
      </c>
      <c r="V364" s="1">
        <v>0</v>
      </c>
      <c r="W364" s="1">
        <v>0</v>
      </c>
      <c r="X364" t="s">
        <v>50</v>
      </c>
      <c r="Y364" t="s">
        <v>50</v>
      </c>
      <c r="Z364" t="s">
        <v>50</v>
      </c>
      <c r="AA364" t="s">
        <v>50</v>
      </c>
      <c r="AB364" s="1">
        <v>6.7</v>
      </c>
      <c r="AC364" t="s">
        <v>50</v>
      </c>
      <c r="AD364" t="s">
        <v>50</v>
      </c>
      <c r="AE364" t="s">
        <v>50</v>
      </c>
      <c r="AF364" t="s">
        <v>50</v>
      </c>
      <c r="AG364" s="1">
        <v>0.14280000000000001</v>
      </c>
      <c r="AH364" s="1">
        <v>0.434</v>
      </c>
      <c r="AI364" s="1">
        <v>5.7500000000000002E-2</v>
      </c>
      <c r="AJ364" t="s">
        <v>50</v>
      </c>
      <c r="AK364" t="s">
        <v>50</v>
      </c>
      <c r="AL364" t="s">
        <v>50</v>
      </c>
      <c r="AM364" t="s">
        <v>50</v>
      </c>
      <c r="AN364" s="1">
        <v>2.1</v>
      </c>
      <c r="AO364" t="s">
        <v>50</v>
      </c>
      <c r="AP364" t="s">
        <v>69</v>
      </c>
      <c r="AQ364" s="1">
        <v>2206</v>
      </c>
      <c r="AR364" t="s">
        <v>70</v>
      </c>
    </row>
    <row r="365" spans="1:44">
      <c r="A365" s="1">
        <v>32353</v>
      </c>
      <c r="B365" s="1">
        <v>32356</v>
      </c>
      <c r="C365" s="1">
        <v>31688</v>
      </c>
      <c r="D365" t="s">
        <v>1149</v>
      </c>
      <c r="E365" t="s">
        <v>1042</v>
      </c>
      <c r="F365" t="str">
        <f>VLOOKUP(E365,Tabela2[#All],2,FALSE)</f>
        <v>Válvula Nível 4</v>
      </c>
      <c r="G365" t="s">
        <v>1043</v>
      </c>
      <c r="H365" s="1">
        <v>2.0299999999999998</v>
      </c>
      <c r="I365" s="1">
        <v>2.0299999999999998</v>
      </c>
      <c r="J365" t="s">
        <v>65</v>
      </c>
      <c r="K365" s="1">
        <v>80.960048999999998</v>
      </c>
      <c r="L365" s="1">
        <v>3.3333330000000001</v>
      </c>
      <c r="M365" s="1">
        <v>11.166</v>
      </c>
      <c r="N365" s="1">
        <v>36441</v>
      </c>
      <c r="O365" t="s">
        <v>66</v>
      </c>
      <c r="P365" t="s">
        <v>67</v>
      </c>
      <c r="Q365" t="s">
        <v>68</v>
      </c>
      <c r="R365" s="1">
        <v>1.7000000000000001E-2</v>
      </c>
      <c r="S365" s="1">
        <v>0.22</v>
      </c>
      <c r="T365" s="1">
        <v>64.306884310000001</v>
      </c>
      <c r="U365" s="1">
        <v>28.99703431</v>
      </c>
      <c r="V365" s="1">
        <v>0</v>
      </c>
      <c r="W365" s="1">
        <v>0</v>
      </c>
      <c r="X365" t="s">
        <v>50</v>
      </c>
      <c r="Y365" t="s">
        <v>50</v>
      </c>
      <c r="Z365" t="s">
        <v>50</v>
      </c>
      <c r="AA365" t="s">
        <v>50</v>
      </c>
      <c r="AB365" s="1">
        <v>9.6199999999999992</v>
      </c>
      <c r="AC365" t="s">
        <v>50</v>
      </c>
      <c r="AD365" t="s">
        <v>50</v>
      </c>
      <c r="AE365" t="s">
        <v>50</v>
      </c>
      <c r="AF365" t="s">
        <v>50</v>
      </c>
      <c r="AG365" s="1">
        <v>0.15625</v>
      </c>
      <c r="AH365" s="1">
        <v>0.73329999999999995</v>
      </c>
      <c r="AI365" s="1">
        <v>7.85E-2</v>
      </c>
      <c r="AJ365" t="s">
        <v>50</v>
      </c>
      <c r="AK365" t="s">
        <v>50</v>
      </c>
      <c r="AL365" t="s">
        <v>50</v>
      </c>
      <c r="AM365" t="s">
        <v>50</v>
      </c>
      <c r="AN365" s="1">
        <v>3.27</v>
      </c>
      <c r="AO365" t="s">
        <v>50</v>
      </c>
      <c r="AP365" t="s">
        <v>1044</v>
      </c>
      <c r="AQ365" s="1">
        <v>414</v>
      </c>
      <c r="AR365" t="s">
        <v>70</v>
      </c>
    </row>
    <row r="366" spans="1:44">
      <c r="A366" s="1">
        <v>36970</v>
      </c>
      <c r="B366" s="1">
        <v>32388</v>
      </c>
      <c r="C366" s="1">
        <v>31721</v>
      </c>
      <c r="D366" t="s">
        <v>1150</v>
      </c>
      <c r="E366" t="s">
        <v>1151</v>
      </c>
      <c r="F366" t="str">
        <f>VLOOKUP(E366,Tabela2[#All],2,FALSE)</f>
        <v>Válvula Nível 3</v>
      </c>
      <c r="G366" t="s">
        <v>1152</v>
      </c>
      <c r="H366" s="1">
        <v>3.69</v>
      </c>
      <c r="I366" s="1">
        <v>3.69</v>
      </c>
      <c r="J366" t="s">
        <v>65</v>
      </c>
      <c r="K366" s="1">
        <v>72</v>
      </c>
      <c r="L366" s="1">
        <v>3.2</v>
      </c>
      <c r="M366" s="1">
        <v>16.399999999999999</v>
      </c>
      <c r="N366" s="1">
        <v>36446</v>
      </c>
      <c r="O366" t="s">
        <v>119</v>
      </c>
      <c r="P366" t="s">
        <v>67</v>
      </c>
      <c r="Q366" t="s">
        <v>68</v>
      </c>
      <c r="R366" s="1">
        <v>0.22</v>
      </c>
      <c r="S366" t="s">
        <v>50</v>
      </c>
      <c r="T366" s="1">
        <v>44.951174229999999</v>
      </c>
      <c r="U366" s="1">
        <v>44.951174229999999</v>
      </c>
      <c r="V366" s="1">
        <v>0</v>
      </c>
      <c r="W366" s="1">
        <v>0</v>
      </c>
      <c r="X366" t="s">
        <v>50</v>
      </c>
      <c r="Y366" t="s">
        <v>50</v>
      </c>
      <c r="Z366" t="s">
        <v>50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s="1">
        <v>0.3</v>
      </c>
      <c r="AH366" s="1">
        <v>0.83819999999999995</v>
      </c>
      <c r="AI366" s="1">
        <v>0.1095</v>
      </c>
      <c r="AJ366" t="s">
        <v>50</v>
      </c>
      <c r="AK366" t="s">
        <v>50</v>
      </c>
      <c r="AL366" t="s">
        <v>50</v>
      </c>
      <c r="AM366" t="s">
        <v>50</v>
      </c>
      <c r="AN366" s="1">
        <v>3</v>
      </c>
      <c r="AO366" t="s">
        <v>50</v>
      </c>
      <c r="AP366" t="s">
        <v>1153</v>
      </c>
      <c r="AQ366" s="1">
        <v>3285</v>
      </c>
      <c r="AR366" t="s">
        <v>70</v>
      </c>
    </row>
    <row r="367" spans="1:44">
      <c r="A367" s="1">
        <v>35866</v>
      </c>
      <c r="B367" s="1">
        <v>32373</v>
      </c>
      <c r="C367" s="1">
        <v>31706</v>
      </c>
      <c r="D367" t="s">
        <v>1154</v>
      </c>
      <c r="E367" t="s">
        <v>1050</v>
      </c>
      <c r="F367" t="str">
        <f>VLOOKUP(E367,Tabela2[#All],2,FALSE)</f>
        <v>Válvula Nível 4</v>
      </c>
      <c r="G367" t="s">
        <v>450</v>
      </c>
      <c r="H367" s="1">
        <v>2.68</v>
      </c>
      <c r="I367" s="1">
        <v>2.68</v>
      </c>
      <c r="J367" t="s">
        <v>65</v>
      </c>
      <c r="K367" s="1">
        <v>78.289654999999996</v>
      </c>
      <c r="L367" s="1">
        <v>3.3</v>
      </c>
      <c r="M367" s="1">
        <v>14.5</v>
      </c>
      <c r="N367" s="1">
        <v>36441</v>
      </c>
      <c r="O367" t="s">
        <v>66</v>
      </c>
      <c r="P367" t="s">
        <v>67</v>
      </c>
      <c r="Q367" t="s">
        <v>68</v>
      </c>
      <c r="R367" s="1">
        <v>0.05</v>
      </c>
      <c r="S367" s="1">
        <v>0.37</v>
      </c>
      <c r="T367" s="1">
        <v>59.486960340000003</v>
      </c>
      <c r="U367" s="1">
        <v>33.203316340000001</v>
      </c>
      <c r="V367" s="1">
        <v>0</v>
      </c>
      <c r="W367" s="1">
        <v>0</v>
      </c>
      <c r="X367" t="s">
        <v>50</v>
      </c>
      <c r="Y367" t="s">
        <v>50</v>
      </c>
      <c r="Z367" t="s">
        <v>50</v>
      </c>
      <c r="AA367" t="s">
        <v>50</v>
      </c>
      <c r="AB367" s="1">
        <v>9.1</v>
      </c>
      <c r="AC367" t="s">
        <v>50</v>
      </c>
      <c r="AD367" t="s">
        <v>50</v>
      </c>
      <c r="AE367" t="s">
        <v>50</v>
      </c>
      <c r="AF367" t="s">
        <v>50</v>
      </c>
      <c r="AG367" s="1">
        <v>5.3999999999999999E-2</v>
      </c>
      <c r="AH367" s="1">
        <v>0.66659999999999997</v>
      </c>
      <c r="AI367" s="1">
        <v>8.8400000000000006E-2</v>
      </c>
      <c r="AJ367" t="s">
        <v>50</v>
      </c>
      <c r="AK367" t="s">
        <v>50</v>
      </c>
      <c r="AL367" t="s">
        <v>50</v>
      </c>
      <c r="AM367" t="s">
        <v>50</v>
      </c>
      <c r="AN367" s="1">
        <v>3</v>
      </c>
      <c r="AO367" t="s">
        <v>50</v>
      </c>
      <c r="AP367" t="s">
        <v>1051</v>
      </c>
      <c r="AQ367" s="1">
        <v>1938</v>
      </c>
      <c r="AR367" t="s">
        <v>70</v>
      </c>
    </row>
    <row r="368" spans="1:44">
      <c r="A368" s="1">
        <v>41827</v>
      </c>
      <c r="B368" s="1">
        <v>32373</v>
      </c>
      <c r="C368" s="1">
        <v>31706</v>
      </c>
      <c r="D368" t="s">
        <v>1155</v>
      </c>
      <c r="E368" t="s">
        <v>1050</v>
      </c>
      <c r="F368" t="str">
        <f>VLOOKUP(E368,Tabela2[#All],2,FALSE)</f>
        <v>Válvula Nível 4</v>
      </c>
      <c r="G368" t="s">
        <v>450</v>
      </c>
      <c r="H368" s="1">
        <v>2.68</v>
      </c>
      <c r="I368" s="1">
        <v>2.68</v>
      </c>
      <c r="J368" t="s">
        <v>65</v>
      </c>
      <c r="K368" s="1">
        <v>78.289654999999996</v>
      </c>
      <c r="L368" s="1">
        <v>3.3</v>
      </c>
      <c r="M368" s="1">
        <v>14.5</v>
      </c>
      <c r="N368" s="1">
        <v>36441</v>
      </c>
      <c r="O368" t="s">
        <v>66</v>
      </c>
      <c r="P368" t="s">
        <v>67</v>
      </c>
      <c r="Q368" t="s">
        <v>68</v>
      </c>
      <c r="R368" s="1">
        <v>0.05</v>
      </c>
      <c r="S368" s="1">
        <v>0.37</v>
      </c>
      <c r="T368" s="1">
        <v>60.61245074</v>
      </c>
      <c r="U368" s="1">
        <v>33.203316340000001</v>
      </c>
      <c r="V368" s="1">
        <v>0</v>
      </c>
      <c r="W368" s="1">
        <v>0</v>
      </c>
      <c r="X368" t="s">
        <v>50</v>
      </c>
      <c r="Y368" t="s">
        <v>50</v>
      </c>
      <c r="Z368" t="s">
        <v>50</v>
      </c>
      <c r="AA368" t="s">
        <v>50</v>
      </c>
      <c r="AB368" s="1">
        <v>9.5</v>
      </c>
      <c r="AC368" t="s">
        <v>50</v>
      </c>
      <c r="AD368" t="s">
        <v>50</v>
      </c>
      <c r="AE368" t="s">
        <v>50</v>
      </c>
      <c r="AF368" t="s">
        <v>50</v>
      </c>
      <c r="AG368" s="1">
        <v>5.3999999999999999E-2</v>
      </c>
      <c r="AH368" s="1">
        <v>0.66659999999999997</v>
      </c>
      <c r="AI368" s="1">
        <v>8.8400000000000006E-2</v>
      </c>
      <c r="AJ368" t="s">
        <v>50</v>
      </c>
      <c r="AK368" t="s">
        <v>50</v>
      </c>
      <c r="AL368" t="s">
        <v>50</v>
      </c>
      <c r="AM368" t="s">
        <v>50</v>
      </c>
      <c r="AN368" s="1">
        <v>3</v>
      </c>
      <c r="AO368" t="s">
        <v>50</v>
      </c>
      <c r="AP368" t="s">
        <v>1051</v>
      </c>
      <c r="AQ368" s="1">
        <v>1938</v>
      </c>
      <c r="AR368" t="s">
        <v>70</v>
      </c>
    </row>
    <row r="369" spans="1:44">
      <c r="A369" s="1">
        <v>41653</v>
      </c>
      <c r="B369" s="1">
        <v>32382</v>
      </c>
      <c r="C369" s="1">
        <v>31715</v>
      </c>
      <c r="D369" t="s">
        <v>1156</v>
      </c>
      <c r="E369" t="s">
        <v>1157</v>
      </c>
      <c r="F369" t="str">
        <f>VLOOKUP(E369,Tabela2[#All],2,FALSE)</f>
        <v>Válvula Nível 1</v>
      </c>
      <c r="G369" t="s">
        <v>1158</v>
      </c>
      <c r="H369" s="1">
        <v>8.77</v>
      </c>
      <c r="I369" s="1">
        <v>8.77</v>
      </c>
      <c r="J369" t="s">
        <v>65</v>
      </c>
      <c r="K369" s="1">
        <v>73.024389999999997</v>
      </c>
      <c r="L369" s="1">
        <v>1.5</v>
      </c>
      <c r="M369" s="1">
        <v>20.5</v>
      </c>
      <c r="N369" s="1">
        <v>36446</v>
      </c>
      <c r="O369" t="s">
        <v>119</v>
      </c>
      <c r="P369" t="s">
        <v>67</v>
      </c>
      <c r="Q369" t="s">
        <v>68</v>
      </c>
      <c r="R369" t="s">
        <v>50</v>
      </c>
      <c r="S369" t="s">
        <v>50</v>
      </c>
      <c r="T369" s="1">
        <v>196.48901832000001</v>
      </c>
      <c r="U369" s="1">
        <v>123.82625582</v>
      </c>
      <c r="V369" s="1">
        <v>0</v>
      </c>
      <c r="W369" s="1">
        <v>0</v>
      </c>
      <c r="X369" t="s">
        <v>50</v>
      </c>
      <c r="Y369" t="s">
        <v>50</v>
      </c>
      <c r="Z369" t="s">
        <v>50</v>
      </c>
      <c r="AA369" t="s">
        <v>50</v>
      </c>
      <c r="AB369" s="1">
        <v>20.53</v>
      </c>
      <c r="AC369" t="s">
        <v>50</v>
      </c>
      <c r="AD369" t="s">
        <v>50</v>
      </c>
      <c r="AE369" t="s">
        <v>50</v>
      </c>
      <c r="AF369" t="s">
        <v>50</v>
      </c>
      <c r="AG369" s="1">
        <v>0.55549999999999999</v>
      </c>
      <c r="AH369" s="1">
        <v>1.85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s="1">
        <v>9</v>
      </c>
      <c r="AO369" t="s">
        <v>50</v>
      </c>
      <c r="AP369" t="s">
        <v>1159</v>
      </c>
      <c r="AQ369" s="1">
        <v>2236</v>
      </c>
      <c r="AR369" t="s">
        <v>70</v>
      </c>
    </row>
    <row r="370" spans="1:44">
      <c r="A370" s="1">
        <v>41654</v>
      </c>
      <c r="B370" s="1">
        <v>32382</v>
      </c>
      <c r="C370" s="1">
        <v>31715</v>
      </c>
      <c r="D370" t="s">
        <v>1160</v>
      </c>
      <c r="E370" t="s">
        <v>1157</v>
      </c>
      <c r="F370" t="str">
        <f>VLOOKUP(E370,Tabela2[#All],2,FALSE)</f>
        <v>Válvula Nível 1</v>
      </c>
      <c r="G370" t="s">
        <v>1158</v>
      </c>
      <c r="H370" s="1">
        <v>8.7200000000000006</v>
      </c>
      <c r="I370" s="1">
        <v>8.7200000000000006</v>
      </c>
      <c r="J370" t="s">
        <v>65</v>
      </c>
      <c r="K370" s="1">
        <v>73.024389999999997</v>
      </c>
      <c r="L370" s="1">
        <v>1.5</v>
      </c>
      <c r="M370" s="1">
        <v>20.5</v>
      </c>
      <c r="N370" s="1">
        <v>36446</v>
      </c>
      <c r="O370" t="s">
        <v>119</v>
      </c>
      <c r="P370" t="s">
        <v>67</v>
      </c>
      <c r="Q370" t="s">
        <v>68</v>
      </c>
      <c r="R370" t="s">
        <v>50</v>
      </c>
      <c r="S370" t="s">
        <v>50</v>
      </c>
      <c r="T370" s="1">
        <v>199.94901831999999</v>
      </c>
      <c r="U370" s="1">
        <v>123.82625582</v>
      </c>
      <c r="V370" s="1">
        <v>0</v>
      </c>
      <c r="W370" s="1">
        <v>0</v>
      </c>
      <c r="X370" t="s">
        <v>50</v>
      </c>
      <c r="Y370" t="s">
        <v>50</v>
      </c>
      <c r="Z370" t="s">
        <v>50</v>
      </c>
      <c r="AA370" t="s">
        <v>50</v>
      </c>
      <c r="AB370" s="1">
        <v>21.53</v>
      </c>
      <c r="AC370" t="s">
        <v>50</v>
      </c>
      <c r="AD370" t="s">
        <v>50</v>
      </c>
      <c r="AE370" t="s">
        <v>50</v>
      </c>
      <c r="AF370" t="s">
        <v>50</v>
      </c>
      <c r="AG370" s="1">
        <v>0.55549999999999999</v>
      </c>
      <c r="AH370" s="1">
        <v>1.85</v>
      </c>
      <c r="AI370" t="s">
        <v>50</v>
      </c>
      <c r="AJ370" t="s">
        <v>50</v>
      </c>
      <c r="AK370" t="s">
        <v>50</v>
      </c>
      <c r="AL370" t="s">
        <v>50</v>
      </c>
      <c r="AM370" t="s">
        <v>50</v>
      </c>
      <c r="AN370" s="1">
        <v>9</v>
      </c>
      <c r="AO370" t="s">
        <v>50</v>
      </c>
      <c r="AP370" t="s">
        <v>1159</v>
      </c>
      <c r="AQ370" s="1">
        <v>2236</v>
      </c>
      <c r="AR370" t="s">
        <v>70</v>
      </c>
    </row>
    <row r="371" spans="1:44">
      <c r="A371" s="1">
        <v>43448</v>
      </c>
      <c r="B371" s="1">
        <v>32374</v>
      </c>
      <c r="C371" s="1">
        <v>31707</v>
      </c>
      <c r="D371" t="s">
        <v>1161</v>
      </c>
      <c r="E371" t="s">
        <v>1046</v>
      </c>
      <c r="F371" t="str">
        <f>VLOOKUP(E371,Tabela2[#All],2,FALSE)</f>
        <v>Válvula Nível 3</v>
      </c>
      <c r="G371" t="s">
        <v>1047</v>
      </c>
      <c r="H371" s="1">
        <v>1.99</v>
      </c>
      <c r="I371" s="1">
        <v>1.99</v>
      </c>
      <c r="J371" t="s">
        <v>65</v>
      </c>
      <c r="K371" s="1">
        <v>78.260862000000003</v>
      </c>
      <c r="L371" s="1">
        <v>3.3333330000000001</v>
      </c>
      <c r="M371" s="1">
        <v>11.5</v>
      </c>
      <c r="N371" s="1">
        <v>36441</v>
      </c>
      <c r="O371" t="s">
        <v>66</v>
      </c>
      <c r="P371" t="s">
        <v>67</v>
      </c>
      <c r="Q371" t="s">
        <v>68</v>
      </c>
      <c r="R371" s="1">
        <v>0.28699999999999998</v>
      </c>
      <c r="S371" t="s">
        <v>50</v>
      </c>
      <c r="T371" s="1">
        <v>88.531875589999999</v>
      </c>
      <c r="U371" s="1">
        <v>34.386695590000002</v>
      </c>
      <c r="V371" s="1">
        <v>0</v>
      </c>
      <c r="W371" s="1">
        <v>0</v>
      </c>
      <c r="X371" t="s">
        <v>50</v>
      </c>
      <c r="Y371" t="s">
        <v>50</v>
      </c>
      <c r="Z371" t="s">
        <v>50</v>
      </c>
      <c r="AA371" t="s">
        <v>50</v>
      </c>
      <c r="AB371" s="1">
        <v>15.16</v>
      </c>
      <c r="AC371" t="s">
        <v>50</v>
      </c>
      <c r="AD371" t="s">
        <v>50</v>
      </c>
      <c r="AE371" t="s">
        <v>50</v>
      </c>
      <c r="AF371" t="s">
        <v>50</v>
      </c>
      <c r="AG371" s="1">
        <v>0.15625</v>
      </c>
      <c r="AH371" s="1">
        <v>0.4</v>
      </c>
      <c r="AI371" s="1">
        <v>7.6600000000000001E-2</v>
      </c>
      <c r="AJ371" t="s">
        <v>50</v>
      </c>
      <c r="AK371" t="s">
        <v>50</v>
      </c>
      <c r="AL371" t="s">
        <v>50</v>
      </c>
      <c r="AM371" t="s">
        <v>50</v>
      </c>
      <c r="AN371" s="1">
        <v>2.76</v>
      </c>
      <c r="AO371" t="s">
        <v>50</v>
      </c>
      <c r="AP371" t="s">
        <v>1048</v>
      </c>
      <c r="AQ371" s="1">
        <v>1937</v>
      </c>
      <c r="AR371" t="s">
        <v>70</v>
      </c>
    </row>
    <row r="372" spans="1:44">
      <c r="A372" s="1">
        <v>44239</v>
      </c>
      <c r="B372" s="1">
        <v>41715</v>
      </c>
      <c r="C372" s="1">
        <v>36942</v>
      </c>
      <c r="D372" t="s">
        <v>1162</v>
      </c>
      <c r="E372" t="s">
        <v>1163</v>
      </c>
      <c r="F372" t="str">
        <f>VLOOKUP(E372,Tabela2[#All],2,FALSE)</f>
        <v>Válvula Nível 6</v>
      </c>
      <c r="G372" t="s">
        <v>1164</v>
      </c>
      <c r="H372" s="1">
        <v>8.8999999999999996E-2</v>
      </c>
      <c r="I372" s="1">
        <v>8.8999999999999996E-2</v>
      </c>
      <c r="J372" t="s">
        <v>65</v>
      </c>
      <c r="K372" s="1">
        <v>43.2</v>
      </c>
      <c r="L372" s="1">
        <v>21</v>
      </c>
      <c r="M372" s="1">
        <v>7</v>
      </c>
      <c r="N372" s="1">
        <v>36450</v>
      </c>
      <c r="O372" t="s">
        <v>1023</v>
      </c>
      <c r="P372" t="s">
        <v>67</v>
      </c>
      <c r="Q372" t="s">
        <v>68</v>
      </c>
      <c r="R372" t="s">
        <v>50</v>
      </c>
      <c r="S372" t="s">
        <v>50</v>
      </c>
      <c r="T372" s="1">
        <v>13.062428880000001</v>
      </c>
      <c r="U372" s="1">
        <v>4.1566034800000002</v>
      </c>
      <c r="V372" s="1">
        <v>0</v>
      </c>
      <c r="W372" s="1">
        <v>0</v>
      </c>
      <c r="X372" t="s">
        <v>50</v>
      </c>
      <c r="Y372" t="s">
        <v>50</v>
      </c>
      <c r="Z372" t="s">
        <v>50</v>
      </c>
      <c r="AA372" s="1">
        <v>1.5</v>
      </c>
      <c r="AB372" s="1">
        <v>1.9538</v>
      </c>
      <c r="AC372" t="s">
        <v>50</v>
      </c>
      <c r="AD372" t="s">
        <v>50</v>
      </c>
      <c r="AE372" t="s">
        <v>50</v>
      </c>
      <c r="AF372" t="s">
        <v>50</v>
      </c>
      <c r="AG372" s="1">
        <v>2.9760000000000002E-2</v>
      </c>
      <c r="AH372" s="1">
        <v>0.85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1165</v>
      </c>
      <c r="AQ372" s="1">
        <v>2451</v>
      </c>
      <c r="AR372" t="s">
        <v>70</v>
      </c>
    </row>
    <row r="373" spans="1:44">
      <c r="A373" s="1">
        <v>43665</v>
      </c>
      <c r="B373" s="1">
        <v>32128</v>
      </c>
      <c r="C373" s="1">
        <v>31455</v>
      </c>
      <c r="D373" t="s">
        <v>1166</v>
      </c>
      <c r="E373" t="s">
        <v>63</v>
      </c>
      <c r="F373" t="str">
        <f>VLOOKUP(E373,Tabela2[#All],2,FALSE)</f>
        <v>Válvula Nível 4</v>
      </c>
      <c r="G373" t="s">
        <v>64</v>
      </c>
      <c r="H373" s="1">
        <v>1.57</v>
      </c>
      <c r="I373" s="1">
        <v>1.57</v>
      </c>
      <c r="J373" t="s">
        <v>65</v>
      </c>
      <c r="K373" s="1">
        <v>69.666667000000004</v>
      </c>
      <c r="L373" s="1">
        <v>3.5</v>
      </c>
      <c r="M373" s="1">
        <v>10.5</v>
      </c>
      <c r="N373" s="1">
        <v>36441</v>
      </c>
      <c r="O373" t="s">
        <v>66</v>
      </c>
      <c r="P373" t="s">
        <v>67</v>
      </c>
      <c r="Q373" t="s">
        <v>68</v>
      </c>
      <c r="R373" s="1">
        <v>1.7000000000000001E-2</v>
      </c>
      <c r="S373" s="1">
        <v>0.32</v>
      </c>
      <c r="T373" s="1">
        <v>50.811597579999997</v>
      </c>
      <c r="U373" s="1">
        <v>23.661307579999999</v>
      </c>
      <c r="V373" s="1">
        <v>0</v>
      </c>
      <c r="W373" s="1">
        <v>0</v>
      </c>
      <c r="X373" t="s">
        <v>50</v>
      </c>
      <c r="Y373" t="s">
        <v>50</v>
      </c>
      <c r="Z373" t="s">
        <v>50</v>
      </c>
      <c r="AA373" t="s">
        <v>50</v>
      </c>
      <c r="AB373" s="1">
        <v>7.55</v>
      </c>
      <c r="AC373" t="s">
        <v>50</v>
      </c>
      <c r="AD373" t="s">
        <v>50</v>
      </c>
      <c r="AE373" t="s">
        <v>50</v>
      </c>
      <c r="AF373" t="s">
        <v>50</v>
      </c>
      <c r="AG373" s="1">
        <v>0.14280000000000001</v>
      </c>
      <c r="AH373" s="1">
        <v>0.434</v>
      </c>
      <c r="AI373" s="1">
        <v>5.7500000000000002E-2</v>
      </c>
      <c r="AJ373" t="s">
        <v>50</v>
      </c>
      <c r="AK373" t="s">
        <v>50</v>
      </c>
      <c r="AL373" t="s">
        <v>50</v>
      </c>
      <c r="AM373" t="s">
        <v>50</v>
      </c>
      <c r="AN373" s="1">
        <v>2.1</v>
      </c>
      <c r="AO373" t="s">
        <v>50</v>
      </c>
      <c r="AP373" t="s">
        <v>69</v>
      </c>
      <c r="AQ373" s="1">
        <v>2206</v>
      </c>
      <c r="AR373" t="s">
        <v>70</v>
      </c>
    </row>
    <row r="374" spans="1:44">
      <c r="A374" s="1">
        <v>43664</v>
      </c>
      <c r="B374" s="1">
        <v>32128</v>
      </c>
      <c r="C374" s="1">
        <v>31455</v>
      </c>
      <c r="D374" t="s">
        <v>1167</v>
      </c>
      <c r="E374" t="s">
        <v>63</v>
      </c>
      <c r="F374" t="str">
        <f>VLOOKUP(E374,Tabela2[#All],2,FALSE)</f>
        <v>Válvula Nível 4</v>
      </c>
      <c r="G374" t="s">
        <v>64</v>
      </c>
      <c r="H374" s="1">
        <v>1.585</v>
      </c>
      <c r="I374" s="1">
        <v>1.585</v>
      </c>
      <c r="J374" t="s">
        <v>65</v>
      </c>
      <c r="K374" s="1">
        <v>69.666667000000004</v>
      </c>
      <c r="L374" s="1">
        <v>3.5</v>
      </c>
      <c r="M374" s="1">
        <v>10.5</v>
      </c>
      <c r="N374" s="1">
        <v>36441</v>
      </c>
      <c r="O374" t="s">
        <v>66</v>
      </c>
      <c r="P374" t="s">
        <v>67</v>
      </c>
      <c r="Q374" t="s">
        <v>68</v>
      </c>
      <c r="R374" s="1">
        <v>1.7000000000000001E-2</v>
      </c>
      <c r="S374" s="1">
        <v>0.32</v>
      </c>
      <c r="T374" s="1">
        <v>54.528147580000002</v>
      </c>
      <c r="U374" s="1">
        <v>23.661307579999999</v>
      </c>
      <c r="V374" s="1">
        <v>0</v>
      </c>
      <c r="W374" s="1">
        <v>0</v>
      </c>
      <c r="X374" t="s">
        <v>50</v>
      </c>
      <c r="Y374" t="s">
        <v>50</v>
      </c>
      <c r="Z374" t="s">
        <v>50</v>
      </c>
      <c r="AA374" t="s">
        <v>50</v>
      </c>
      <c r="AB374" s="1">
        <v>8.6</v>
      </c>
      <c r="AC374" t="s">
        <v>50</v>
      </c>
      <c r="AD374" t="s">
        <v>50</v>
      </c>
      <c r="AE374" t="s">
        <v>50</v>
      </c>
      <c r="AF374" t="s">
        <v>50</v>
      </c>
      <c r="AG374" s="1">
        <v>0.14280000000000001</v>
      </c>
      <c r="AH374" s="1">
        <v>0.434</v>
      </c>
      <c r="AI374" s="1">
        <v>5.7500000000000002E-2</v>
      </c>
      <c r="AJ374" t="s">
        <v>50</v>
      </c>
      <c r="AK374" t="s">
        <v>50</v>
      </c>
      <c r="AL374" t="s">
        <v>50</v>
      </c>
      <c r="AM374" t="s">
        <v>50</v>
      </c>
      <c r="AN374" s="1">
        <v>2.1</v>
      </c>
      <c r="AO374" t="s">
        <v>50</v>
      </c>
      <c r="AP374" t="s">
        <v>69</v>
      </c>
      <c r="AQ374" s="1">
        <v>2206</v>
      </c>
      <c r="AR374" t="s">
        <v>70</v>
      </c>
    </row>
    <row r="375" spans="1:44">
      <c r="A375" s="1">
        <v>69449</v>
      </c>
      <c r="B375" s="1">
        <v>32373</v>
      </c>
      <c r="C375" s="1">
        <v>31706</v>
      </c>
      <c r="D375" t="s">
        <v>1169</v>
      </c>
      <c r="E375" t="s">
        <v>1050</v>
      </c>
      <c r="F375" t="str">
        <f>VLOOKUP(E375,Tabela2[#All],2,FALSE)</f>
        <v>Válvula Nível 4</v>
      </c>
      <c r="G375" t="s">
        <v>450</v>
      </c>
      <c r="H375" s="1">
        <v>2.68</v>
      </c>
      <c r="I375" s="1">
        <v>2.68</v>
      </c>
      <c r="J375" t="s">
        <v>65</v>
      </c>
      <c r="K375" s="1">
        <v>78.289654999999996</v>
      </c>
      <c r="L375" s="1">
        <v>3.3</v>
      </c>
      <c r="M375" s="1">
        <v>14.5</v>
      </c>
      <c r="N375" s="1">
        <v>36441</v>
      </c>
      <c r="O375" t="s">
        <v>66</v>
      </c>
      <c r="P375" t="s">
        <v>67</v>
      </c>
      <c r="Q375" t="s">
        <v>68</v>
      </c>
      <c r="R375" s="1">
        <v>0.05</v>
      </c>
      <c r="S375" s="1">
        <v>0.37</v>
      </c>
      <c r="T375" s="1">
        <v>75.96226034</v>
      </c>
      <c r="U375" s="1">
        <v>33.203316340000001</v>
      </c>
      <c r="V375" s="1">
        <v>0</v>
      </c>
      <c r="W375" s="1">
        <v>0</v>
      </c>
      <c r="X375" t="s">
        <v>50</v>
      </c>
      <c r="Y375" t="s">
        <v>50</v>
      </c>
      <c r="Z375" t="s">
        <v>50</v>
      </c>
      <c r="AA375" t="s">
        <v>50</v>
      </c>
      <c r="AB375" s="1">
        <v>12.16</v>
      </c>
      <c r="AC375" t="s">
        <v>50</v>
      </c>
      <c r="AD375" t="s">
        <v>50</v>
      </c>
      <c r="AE375" t="s">
        <v>50</v>
      </c>
      <c r="AF375" t="s">
        <v>50</v>
      </c>
      <c r="AG375" s="1">
        <v>5.3999999999999999E-2</v>
      </c>
      <c r="AH375" s="1">
        <v>0.66659999999999997</v>
      </c>
      <c r="AI375" s="1">
        <v>8.8400000000000006E-2</v>
      </c>
      <c r="AJ375" t="s">
        <v>50</v>
      </c>
      <c r="AK375" t="s">
        <v>50</v>
      </c>
      <c r="AL375" t="s">
        <v>50</v>
      </c>
      <c r="AM375" t="s">
        <v>50</v>
      </c>
      <c r="AN375" s="1">
        <v>3</v>
      </c>
      <c r="AO375" t="s">
        <v>50</v>
      </c>
      <c r="AP375" t="s">
        <v>1051</v>
      </c>
      <c r="AQ375" s="1">
        <v>1938</v>
      </c>
      <c r="AR375" t="s">
        <v>70</v>
      </c>
    </row>
    <row r="376" spans="1:44">
      <c r="A376" s="1">
        <v>69447</v>
      </c>
      <c r="B376" s="1">
        <v>32373</v>
      </c>
      <c r="C376" s="1">
        <v>31706</v>
      </c>
      <c r="D376" t="s">
        <v>1170</v>
      </c>
      <c r="E376" t="s">
        <v>1050</v>
      </c>
      <c r="F376" t="str">
        <f>VLOOKUP(E376,Tabela2[#All],2,FALSE)</f>
        <v>Válvula Nível 4</v>
      </c>
      <c r="G376" t="s">
        <v>450</v>
      </c>
      <c r="H376" s="1">
        <v>2.68</v>
      </c>
      <c r="I376" s="1">
        <v>2.68</v>
      </c>
      <c r="J376" t="s">
        <v>65</v>
      </c>
      <c r="K376" s="1">
        <v>78.289654999999996</v>
      </c>
      <c r="L376" s="1">
        <v>3.3</v>
      </c>
      <c r="M376" s="1">
        <v>14.5</v>
      </c>
      <c r="N376" s="1">
        <v>36441</v>
      </c>
      <c r="O376" t="s">
        <v>66</v>
      </c>
      <c r="P376" t="s">
        <v>67</v>
      </c>
      <c r="Q376" t="s">
        <v>68</v>
      </c>
      <c r="R376" s="1">
        <v>0.05</v>
      </c>
      <c r="S376" s="1">
        <v>0.37</v>
      </c>
      <c r="T376" s="1">
        <v>62.496870340000001</v>
      </c>
      <c r="U376" s="1">
        <v>33.203316340000001</v>
      </c>
      <c r="V376" s="1">
        <v>0</v>
      </c>
      <c r="W376" s="1">
        <v>0</v>
      </c>
      <c r="X376" t="s">
        <v>50</v>
      </c>
      <c r="Y376" t="s">
        <v>50</v>
      </c>
      <c r="Z376" t="s">
        <v>50</v>
      </c>
      <c r="AA376" t="s">
        <v>50</v>
      </c>
      <c r="AB376" s="1">
        <v>10.17</v>
      </c>
      <c r="AC376" t="s">
        <v>50</v>
      </c>
      <c r="AD376" t="s">
        <v>50</v>
      </c>
      <c r="AE376" t="s">
        <v>50</v>
      </c>
      <c r="AF376" t="s">
        <v>50</v>
      </c>
      <c r="AG376" s="1">
        <v>5.3999999999999999E-2</v>
      </c>
      <c r="AH376" s="1">
        <v>0.66659999999999997</v>
      </c>
      <c r="AI376" s="1">
        <v>8.8400000000000006E-2</v>
      </c>
      <c r="AJ376" t="s">
        <v>50</v>
      </c>
      <c r="AK376" t="s">
        <v>50</v>
      </c>
      <c r="AL376" t="s">
        <v>50</v>
      </c>
      <c r="AM376" t="s">
        <v>50</v>
      </c>
      <c r="AN376" s="1">
        <v>3</v>
      </c>
      <c r="AO376" t="s">
        <v>50</v>
      </c>
      <c r="AP376" t="s">
        <v>1051</v>
      </c>
      <c r="AQ376" s="1">
        <v>1938</v>
      </c>
      <c r="AR376" t="s">
        <v>70</v>
      </c>
    </row>
    <row r="377" spans="1:44">
      <c r="A377" s="1">
        <v>69448</v>
      </c>
      <c r="B377" s="1">
        <v>32373</v>
      </c>
      <c r="C377" s="1">
        <v>31706</v>
      </c>
      <c r="D377" t="s">
        <v>1171</v>
      </c>
      <c r="E377" t="s">
        <v>1050</v>
      </c>
      <c r="F377" t="str">
        <f>VLOOKUP(E377,Tabela2[#All],2,FALSE)</f>
        <v>Válvula Nível 4</v>
      </c>
      <c r="G377" t="s">
        <v>450</v>
      </c>
      <c r="H377" s="1">
        <v>2.68</v>
      </c>
      <c r="I377" s="1">
        <v>2.68</v>
      </c>
      <c r="J377" t="s">
        <v>65</v>
      </c>
      <c r="K377" s="1">
        <v>78.289654999999996</v>
      </c>
      <c r="L377" s="1">
        <v>3.3</v>
      </c>
      <c r="M377" s="1">
        <v>14.5</v>
      </c>
      <c r="N377" s="1">
        <v>36441</v>
      </c>
      <c r="O377" t="s">
        <v>66</v>
      </c>
      <c r="P377" t="s">
        <v>67</v>
      </c>
      <c r="Q377" t="s">
        <v>68</v>
      </c>
      <c r="R377" s="1">
        <v>0.05</v>
      </c>
      <c r="S377" s="1">
        <v>0.37</v>
      </c>
      <c r="T377" s="1">
        <v>59.486960340000003</v>
      </c>
      <c r="U377" s="1">
        <v>33.203316340000001</v>
      </c>
      <c r="V377" s="1">
        <v>0</v>
      </c>
      <c r="W377" s="1">
        <v>0</v>
      </c>
      <c r="X377" t="s">
        <v>50</v>
      </c>
      <c r="Y377" t="s">
        <v>50</v>
      </c>
      <c r="Z377" t="s">
        <v>50</v>
      </c>
      <c r="AA377" t="s">
        <v>50</v>
      </c>
      <c r="AB377" s="1">
        <v>9.1</v>
      </c>
      <c r="AC377" t="s">
        <v>50</v>
      </c>
      <c r="AD377" t="s">
        <v>50</v>
      </c>
      <c r="AE377" t="s">
        <v>50</v>
      </c>
      <c r="AF377" t="s">
        <v>50</v>
      </c>
      <c r="AG377" s="1">
        <v>5.3999999999999999E-2</v>
      </c>
      <c r="AH377" s="1">
        <v>0.66659999999999997</v>
      </c>
      <c r="AI377" s="1">
        <v>8.8400000000000006E-2</v>
      </c>
      <c r="AJ377" t="s">
        <v>50</v>
      </c>
      <c r="AK377" t="s">
        <v>50</v>
      </c>
      <c r="AL377" t="s">
        <v>50</v>
      </c>
      <c r="AM377" t="s">
        <v>50</v>
      </c>
      <c r="AN377" s="1">
        <v>3</v>
      </c>
      <c r="AO377" t="s">
        <v>50</v>
      </c>
      <c r="AP377" t="s">
        <v>1051</v>
      </c>
      <c r="AQ377" s="1">
        <v>1938</v>
      </c>
      <c r="AR377" t="s">
        <v>70</v>
      </c>
    </row>
    <row r="378" spans="1:44">
      <c r="A378" s="1">
        <v>69450</v>
      </c>
      <c r="B378" s="1">
        <v>32373</v>
      </c>
      <c r="C378" s="1">
        <v>31706</v>
      </c>
      <c r="D378" t="s">
        <v>1172</v>
      </c>
      <c r="E378" t="s">
        <v>1050</v>
      </c>
      <c r="F378" t="str">
        <f>VLOOKUP(E378,Tabela2[#All],2,FALSE)</f>
        <v>Válvula Nível 4</v>
      </c>
      <c r="G378" t="s">
        <v>450</v>
      </c>
      <c r="H378" s="1">
        <v>2.68</v>
      </c>
      <c r="I378" s="1">
        <v>2.68</v>
      </c>
      <c r="J378" t="s">
        <v>65</v>
      </c>
      <c r="K378" s="1">
        <v>78.289654999999996</v>
      </c>
      <c r="L378" s="1">
        <v>3.3</v>
      </c>
      <c r="M378" s="1">
        <v>14.5</v>
      </c>
      <c r="N378" s="1">
        <v>36441</v>
      </c>
      <c r="O378" t="s">
        <v>66</v>
      </c>
      <c r="P378" t="s">
        <v>67</v>
      </c>
      <c r="Q378" t="s">
        <v>68</v>
      </c>
      <c r="R378" s="1">
        <v>0.05</v>
      </c>
      <c r="S378" s="1">
        <v>0.37</v>
      </c>
      <c r="T378" s="1">
        <v>62.260660340000001</v>
      </c>
      <c r="U378" s="1">
        <v>33.203316340000001</v>
      </c>
      <c r="V378" s="1">
        <v>0</v>
      </c>
      <c r="W378" s="1">
        <v>0</v>
      </c>
      <c r="X378" t="s">
        <v>50</v>
      </c>
      <c r="Y378" t="s">
        <v>50</v>
      </c>
      <c r="Z378" t="s">
        <v>50</v>
      </c>
      <c r="AA378" t="s">
        <v>50</v>
      </c>
      <c r="AB378" s="1">
        <v>8.1999999999999993</v>
      </c>
      <c r="AC378" t="s">
        <v>50</v>
      </c>
      <c r="AD378" t="s">
        <v>50</v>
      </c>
      <c r="AE378" t="s">
        <v>50</v>
      </c>
      <c r="AF378" t="s">
        <v>50</v>
      </c>
      <c r="AG378" s="1">
        <v>5.3999999999999999E-2</v>
      </c>
      <c r="AH378" s="1">
        <v>0.66659999999999997</v>
      </c>
      <c r="AI378" s="1">
        <v>8.8400000000000006E-2</v>
      </c>
      <c r="AJ378" t="s">
        <v>50</v>
      </c>
      <c r="AK378" t="s">
        <v>50</v>
      </c>
      <c r="AL378" t="s">
        <v>50</v>
      </c>
      <c r="AM378" t="s">
        <v>50</v>
      </c>
      <c r="AN378" s="1">
        <v>3</v>
      </c>
      <c r="AO378" t="s">
        <v>50</v>
      </c>
      <c r="AP378" t="s">
        <v>1051</v>
      </c>
      <c r="AQ378" s="1">
        <v>1938</v>
      </c>
      <c r="AR378" t="s">
        <v>70</v>
      </c>
    </row>
    <row r="379" spans="1:44">
      <c r="A379" s="1">
        <v>89566</v>
      </c>
      <c r="B379" s="1">
        <v>36086</v>
      </c>
      <c r="C379" s="1">
        <v>33842</v>
      </c>
      <c r="D379" t="s">
        <v>1173</v>
      </c>
      <c r="E379" t="s">
        <v>1145</v>
      </c>
      <c r="F379" t="str">
        <f>VLOOKUP(E379,Tabela2[#All],2,FALSE)</f>
        <v>Válvula Nível 4</v>
      </c>
      <c r="G379" t="s">
        <v>1146</v>
      </c>
      <c r="H379" s="1">
        <v>0.85</v>
      </c>
      <c r="I379" s="1">
        <v>0.85</v>
      </c>
      <c r="J379" t="s">
        <v>65</v>
      </c>
      <c r="K379" s="1">
        <v>68.971429000000001</v>
      </c>
      <c r="L379" s="1">
        <v>6</v>
      </c>
      <c r="M379" s="1">
        <v>10.5</v>
      </c>
      <c r="N379" s="1">
        <v>36441</v>
      </c>
      <c r="O379" t="s">
        <v>66</v>
      </c>
      <c r="P379" t="s">
        <v>67</v>
      </c>
      <c r="Q379" t="s">
        <v>68</v>
      </c>
      <c r="R379" t="s">
        <v>50</v>
      </c>
      <c r="S379" s="1">
        <v>8.8999999999999996E-2</v>
      </c>
      <c r="T379" s="1">
        <v>31.41691612</v>
      </c>
      <c r="U379" s="1">
        <v>14.17630612</v>
      </c>
      <c r="V379" s="1">
        <v>0</v>
      </c>
      <c r="W379" s="1">
        <v>0</v>
      </c>
      <c r="X379" t="s">
        <v>50</v>
      </c>
      <c r="Y379" t="s">
        <v>50</v>
      </c>
      <c r="Z379" t="s">
        <v>50</v>
      </c>
      <c r="AA379" t="s">
        <v>50</v>
      </c>
      <c r="AB379" s="1">
        <v>5.0999999999999996</v>
      </c>
      <c r="AC379" t="s">
        <v>50</v>
      </c>
      <c r="AD379" t="s">
        <v>50</v>
      </c>
      <c r="AE379" t="s">
        <v>50</v>
      </c>
      <c r="AF379" t="s">
        <v>50</v>
      </c>
      <c r="AG379" s="1">
        <v>0.10416599999999999</v>
      </c>
      <c r="AH379" s="1">
        <v>1.5198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t="s">
        <v>1147</v>
      </c>
      <c r="AQ379" s="1">
        <v>2292</v>
      </c>
      <c r="AR379" t="s">
        <v>70</v>
      </c>
    </row>
    <row r="380" spans="1:44">
      <c r="A380" s="1">
        <v>89610</v>
      </c>
      <c r="B380" s="1">
        <v>41259</v>
      </c>
      <c r="C380" s="1">
        <v>31726</v>
      </c>
      <c r="D380" t="s">
        <v>1174</v>
      </c>
      <c r="E380" t="s">
        <v>1175</v>
      </c>
      <c r="F380" t="str">
        <f>VLOOKUP(E380,Tabela2[#All],2,FALSE)</f>
        <v>HIDRÁULICO MACIÇO</v>
      </c>
      <c r="G380" t="s">
        <v>1176</v>
      </c>
      <c r="H380" s="1">
        <v>1</v>
      </c>
      <c r="I380" s="1">
        <v>1</v>
      </c>
      <c r="J380" t="s">
        <v>46</v>
      </c>
      <c r="K380" s="1">
        <v>52.067273999999998</v>
      </c>
      <c r="L380" s="1">
        <v>5</v>
      </c>
      <c r="M380" s="1">
        <v>14.27</v>
      </c>
      <c r="N380" s="1">
        <v>33012</v>
      </c>
      <c r="O380" t="s">
        <v>1075</v>
      </c>
      <c r="P380" t="s">
        <v>67</v>
      </c>
      <c r="Q380" t="s">
        <v>68</v>
      </c>
      <c r="R380" s="1">
        <v>0.06</v>
      </c>
      <c r="S380" t="s">
        <v>50</v>
      </c>
      <c r="T380" s="1">
        <v>37.194141999999999</v>
      </c>
      <c r="U380" s="1">
        <v>16.42211842</v>
      </c>
      <c r="V380" s="1">
        <v>0</v>
      </c>
      <c r="W380" s="1">
        <v>0</v>
      </c>
      <c r="X380" s="1">
        <v>0.66649999999999998</v>
      </c>
      <c r="Y380" t="s">
        <v>50</v>
      </c>
      <c r="Z380" t="s">
        <v>50</v>
      </c>
      <c r="AA380" t="s">
        <v>50</v>
      </c>
      <c r="AB380" s="1">
        <v>5.5</v>
      </c>
      <c r="AC380" t="s">
        <v>50</v>
      </c>
      <c r="AD380" t="s">
        <v>50</v>
      </c>
      <c r="AE380" t="s">
        <v>50</v>
      </c>
      <c r="AF380" s="1">
        <v>0.2001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t="s">
        <v>1175</v>
      </c>
      <c r="AQ380" s="1">
        <v>1320</v>
      </c>
      <c r="AR380" t="s">
        <v>51</v>
      </c>
    </row>
    <row r="381" spans="1:44">
      <c r="A381" s="1">
        <v>89650</v>
      </c>
      <c r="B381" s="1">
        <v>41260</v>
      </c>
      <c r="C381" s="1">
        <v>34777</v>
      </c>
      <c r="D381" t="s">
        <v>1177</v>
      </c>
      <c r="E381" t="s">
        <v>1178</v>
      </c>
      <c r="F381" t="str">
        <f>VLOOKUP(E381,Tabela2[#All],2,FALSE)</f>
        <v>HIDRÁULICO MACIÇO</v>
      </c>
      <c r="G381" t="s">
        <v>1179</v>
      </c>
      <c r="H381" s="1">
        <v>0.56699999999999995</v>
      </c>
      <c r="I381" s="1">
        <v>0.56699999999999995</v>
      </c>
      <c r="J381" t="s">
        <v>46</v>
      </c>
      <c r="K381" s="1">
        <v>47.416106999999997</v>
      </c>
      <c r="L381" s="1">
        <v>9</v>
      </c>
      <c r="M381" s="1">
        <v>14.9</v>
      </c>
      <c r="N381" s="1">
        <v>32958</v>
      </c>
      <c r="O381" t="s">
        <v>81</v>
      </c>
      <c r="P381" t="s">
        <v>67</v>
      </c>
      <c r="Q381" t="s">
        <v>68</v>
      </c>
      <c r="R381" t="s">
        <v>50</v>
      </c>
      <c r="S381" t="s">
        <v>50</v>
      </c>
      <c r="T381" s="1">
        <v>30.049586000000001</v>
      </c>
      <c r="U381" s="1">
        <v>6.4640888299999997</v>
      </c>
      <c r="V381" s="1">
        <v>0</v>
      </c>
      <c r="W381" s="1">
        <v>0</v>
      </c>
      <c r="X381" t="s">
        <v>50</v>
      </c>
      <c r="Y381" t="s">
        <v>50</v>
      </c>
      <c r="Z381" t="s">
        <v>50</v>
      </c>
      <c r="AA381" t="s">
        <v>50</v>
      </c>
      <c r="AB381" s="1">
        <v>7</v>
      </c>
      <c r="AC381" t="s">
        <v>50</v>
      </c>
      <c r="AD381" t="s">
        <v>50</v>
      </c>
      <c r="AE381" t="s">
        <v>50</v>
      </c>
      <c r="AF381" s="1">
        <v>8.8886999999999994E-2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1178</v>
      </c>
      <c r="AQ381" s="1">
        <v>1321</v>
      </c>
      <c r="AR381" t="s">
        <v>51</v>
      </c>
    </row>
    <row r="382" spans="1:44">
      <c r="A382" s="1">
        <v>89668</v>
      </c>
      <c r="B382" s="1">
        <v>41261</v>
      </c>
      <c r="C382" s="1">
        <v>34779</v>
      </c>
      <c r="D382" t="s">
        <v>1180</v>
      </c>
      <c r="E382" t="s">
        <v>1181</v>
      </c>
      <c r="F382" t="str">
        <f>VLOOKUP(E382,Tabela2[#All],2,FALSE)</f>
        <v>HIDRÁULICO MACIÇO</v>
      </c>
      <c r="G382" t="s">
        <v>1182</v>
      </c>
      <c r="H382" s="1">
        <v>0.56699999999999995</v>
      </c>
      <c r="I382" s="1">
        <v>0.56699999999999995</v>
      </c>
      <c r="J382" t="s">
        <v>46</v>
      </c>
      <c r="K382" s="1">
        <v>51.690961999999999</v>
      </c>
      <c r="L382" s="1">
        <v>9</v>
      </c>
      <c r="M382" s="1">
        <v>17.149999999999999</v>
      </c>
      <c r="N382" s="1">
        <v>32958</v>
      </c>
      <c r="O382" t="s">
        <v>81</v>
      </c>
      <c r="P382" t="s">
        <v>67</v>
      </c>
      <c r="Q382" t="s">
        <v>68</v>
      </c>
      <c r="R382" t="s">
        <v>50</v>
      </c>
      <c r="S382" t="s">
        <v>50</v>
      </c>
      <c r="T382" s="1">
        <v>30.439585999999998</v>
      </c>
      <c r="U382" s="1">
        <v>6.8486417599999996</v>
      </c>
      <c r="V382" s="1">
        <v>0</v>
      </c>
      <c r="W382" s="1">
        <v>0</v>
      </c>
      <c r="X382" t="s">
        <v>50</v>
      </c>
      <c r="Y382" t="s">
        <v>50</v>
      </c>
      <c r="Z382" t="s">
        <v>50</v>
      </c>
      <c r="AA382" t="s">
        <v>50</v>
      </c>
      <c r="AB382" s="1">
        <v>7</v>
      </c>
      <c r="AC382" t="s">
        <v>50</v>
      </c>
      <c r="AD382" t="s">
        <v>50</v>
      </c>
      <c r="AE382" t="s">
        <v>50</v>
      </c>
      <c r="AF382" s="1">
        <v>9.0899999999999995E-2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t="s">
        <v>1181</v>
      </c>
      <c r="AQ382" s="1">
        <v>2428</v>
      </c>
      <c r="AR382" t="s">
        <v>51</v>
      </c>
    </row>
    <row r="383" spans="1:44">
      <c r="A383" s="1">
        <v>107167</v>
      </c>
      <c r="B383" s="1">
        <v>107169</v>
      </c>
      <c r="C383" s="1">
        <v>89905</v>
      </c>
      <c r="D383" t="s">
        <v>1183</v>
      </c>
      <c r="E383" t="s">
        <v>1184</v>
      </c>
      <c r="F383" t="str">
        <f>VLOOKUP(E383,Tabela2[#All],2,FALSE)</f>
        <v>SEM FAMÍLIA</v>
      </c>
      <c r="G383" t="s">
        <v>1185</v>
      </c>
      <c r="H383" s="1">
        <v>1.27</v>
      </c>
      <c r="I383" s="1">
        <v>1.27</v>
      </c>
      <c r="J383" t="s">
        <v>46</v>
      </c>
      <c r="K383" s="1">
        <v>62.042875000000002</v>
      </c>
      <c r="L383" s="1">
        <v>4</v>
      </c>
      <c r="M383" s="1">
        <v>7.93</v>
      </c>
      <c r="N383" s="1">
        <v>32958</v>
      </c>
      <c r="O383" t="s">
        <v>81</v>
      </c>
      <c r="P383" t="s">
        <v>1186</v>
      </c>
      <c r="Q383" t="s">
        <v>1187</v>
      </c>
      <c r="R383" t="s">
        <v>50</v>
      </c>
      <c r="S383" s="1">
        <v>0.32</v>
      </c>
      <c r="T383" s="1">
        <v>13.31869463</v>
      </c>
      <c r="U383" s="1">
        <v>12.58553992</v>
      </c>
      <c r="V383" s="1">
        <v>3.2676750000000001</v>
      </c>
      <c r="W383" s="1">
        <v>0</v>
      </c>
      <c r="X383" t="s">
        <v>50</v>
      </c>
      <c r="Y383" s="1">
        <v>7.4999999999999997E-2</v>
      </c>
      <c r="Z383" t="s">
        <v>50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s="1">
        <v>0.2046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t="s">
        <v>1188</v>
      </c>
      <c r="AQ383" s="1">
        <v>10607</v>
      </c>
      <c r="AR383" t="s">
        <v>51</v>
      </c>
    </row>
    <row r="384" spans="1:44">
      <c r="A384" s="1">
        <v>107167</v>
      </c>
      <c r="B384" s="1">
        <v>107169</v>
      </c>
      <c r="C384" s="1">
        <v>89905</v>
      </c>
      <c r="D384" t="s">
        <v>1183</v>
      </c>
      <c r="E384" t="s">
        <v>1184</v>
      </c>
      <c r="F384" t="str">
        <f>VLOOKUP(E384,Tabela2[#All],2,FALSE)</f>
        <v>SEM FAMÍLIA</v>
      </c>
      <c r="G384" t="s">
        <v>1185</v>
      </c>
      <c r="H384" s="1">
        <v>1.27</v>
      </c>
      <c r="I384" s="1">
        <v>1.27</v>
      </c>
      <c r="J384" t="s">
        <v>46</v>
      </c>
      <c r="K384" s="1">
        <v>62.042875000000002</v>
      </c>
      <c r="L384" s="1">
        <v>4</v>
      </c>
      <c r="M384" s="1">
        <v>7.93</v>
      </c>
      <c r="N384" s="1">
        <v>32958</v>
      </c>
      <c r="O384" t="s">
        <v>81</v>
      </c>
      <c r="P384" t="s">
        <v>1189</v>
      </c>
      <c r="Q384" t="s">
        <v>1187</v>
      </c>
      <c r="R384" t="s">
        <v>50</v>
      </c>
      <c r="S384" s="1">
        <v>0.32</v>
      </c>
      <c r="T384" s="1">
        <v>13.31869463</v>
      </c>
      <c r="U384" s="1">
        <v>12.58553992</v>
      </c>
      <c r="V384" s="1">
        <v>3.2676750000000001</v>
      </c>
      <c r="W384" s="1">
        <v>0</v>
      </c>
      <c r="X384" t="s">
        <v>50</v>
      </c>
      <c r="Y384" s="1">
        <v>7.4999999999999997E-2</v>
      </c>
      <c r="Z384" t="s">
        <v>50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s="1">
        <v>0.2046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t="s">
        <v>1188</v>
      </c>
      <c r="AQ384" s="1">
        <v>10607</v>
      </c>
      <c r="AR384" t="s">
        <v>51</v>
      </c>
    </row>
    <row r="385" spans="1:44">
      <c r="A385" s="1">
        <v>107167</v>
      </c>
      <c r="B385" s="1">
        <v>107169</v>
      </c>
      <c r="C385" s="1">
        <v>89905</v>
      </c>
      <c r="D385" t="s">
        <v>1183</v>
      </c>
      <c r="E385" t="s">
        <v>1184</v>
      </c>
      <c r="F385" t="str">
        <f>VLOOKUP(E385,Tabela2[#All],2,FALSE)</f>
        <v>SEM FAMÍLIA</v>
      </c>
      <c r="G385" t="s">
        <v>1185</v>
      </c>
      <c r="H385" s="1">
        <v>1.27</v>
      </c>
      <c r="I385" s="1">
        <v>1.27</v>
      </c>
      <c r="J385" t="s">
        <v>46</v>
      </c>
      <c r="K385" s="1">
        <v>62.042875000000002</v>
      </c>
      <c r="L385" s="1">
        <v>4</v>
      </c>
      <c r="M385" s="1">
        <v>7.93</v>
      </c>
      <c r="N385" s="1">
        <v>32958</v>
      </c>
      <c r="O385" t="s">
        <v>81</v>
      </c>
      <c r="P385" t="s">
        <v>1190</v>
      </c>
      <c r="Q385" t="s">
        <v>1187</v>
      </c>
      <c r="R385" t="s">
        <v>50</v>
      </c>
      <c r="S385" s="1">
        <v>0.32</v>
      </c>
      <c r="T385" s="1">
        <v>13.31869463</v>
      </c>
      <c r="U385" s="1">
        <v>12.58553992</v>
      </c>
      <c r="V385" s="1">
        <v>3.2676750000000001</v>
      </c>
      <c r="W385" s="1">
        <v>0</v>
      </c>
      <c r="X385" t="s">
        <v>50</v>
      </c>
      <c r="Y385" s="1">
        <v>7.4999999999999997E-2</v>
      </c>
      <c r="Z385" t="s">
        <v>50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s="1">
        <v>0.2046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t="s">
        <v>1188</v>
      </c>
      <c r="AQ385" s="1">
        <v>10607</v>
      </c>
      <c r="AR385" t="s">
        <v>51</v>
      </c>
    </row>
    <row r="386" spans="1:44">
      <c r="A386" s="1">
        <v>107167</v>
      </c>
      <c r="B386" s="1">
        <v>107169</v>
      </c>
      <c r="C386" s="1">
        <v>89905</v>
      </c>
      <c r="D386" t="s">
        <v>1183</v>
      </c>
      <c r="E386" t="s">
        <v>1184</v>
      </c>
      <c r="F386" t="str">
        <f>VLOOKUP(E386,Tabela2[#All],2,FALSE)</f>
        <v>SEM FAMÍLIA</v>
      </c>
      <c r="G386" t="s">
        <v>1185</v>
      </c>
      <c r="H386" s="1">
        <v>1.27</v>
      </c>
      <c r="I386" s="1">
        <v>1.27</v>
      </c>
      <c r="J386" t="s">
        <v>46</v>
      </c>
      <c r="K386" s="1">
        <v>62.042875000000002</v>
      </c>
      <c r="L386" s="1">
        <v>4</v>
      </c>
      <c r="M386" s="1">
        <v>7.93</v>
      </c>
      <c r="N386" s="1">
        <v>32958</v>
      </c>
      <c r="O386" t="s">
        <v>81</v>
      </c>
      <c r="P386" t="s">
        <v>1191</v>
      </c>
      <c r="Q386" t="s">
        <v>1187</v>
      </c>
      <c r="R386" t="s">
        <v>50</v>
      </c>
      <c r="S386" s="1">
        <v>0.32</v>
      </c>
      <c r="T386" s="1">
        <v>13.31869463</v>
      </c>
      <c r="U386" s="1">
        <v>12.58553992</v>
      </c>
      <c r="V386" s="1">
        <v>3.2676750000000001</v>
      </c>
      <c r="W386" s="1">
        <v>0</v>
      </c>
      <c r="X386" t="s">
        <v>50</v>
      </c>
      <c r="Y386" s="1">
        <v>7.4999999999999997E-2</v>
      </c>
      <c r="Z386" t="s">
        <v>50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s="1">
        <v>0.2046</v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t="s">
        <v>1188</v>
      </c>
      <c r="AQ386" s="1">
        <v>10607</v>
      </c>
      <c r="AR386" t="s">
        <v>51</v>
      </c>
    </row>
    <row r="387" spans="1:44">
      <c r="A387" s="1">
        <v>107167</v>
      </c>
      <c r="B387" s="1">
        <v>107169</v>
      </c>
      <c r="C387" s="1">
        <v>89905</v>
      </c>
      <c r="D387" t="s">
        <v>1183</v>
      </c>
      <c r="E387" t="s">
        <v>1184</v>
      </c>
      <c r="F387" t="str">
        <f>VLOOKUP(E387,Tabela2[#All],2,FALSE)</f>
        <v>SEM FAMÍLIA</v>
      </c>
      <c r="G387" t="s">
        <v>1185</v>
      </c>
      <c r="H387" s="1">
        <v>1.27</v>
      </c>
      <c r="I387" s="1">
        <v>1.27</v>
      </c>
      <c r="J387" t="s">
        <v>46</v>
      </c>
      <c r="K387" s="1">
        <v>62.042875000000002</v>
      </c>
      <c r="L387" s="1">
        <v>4</v>
      </c>
      <c r="M387" s="1">
        <v>7.93</v>
      </c>
      <c r="N387" s="1">
        <v>32958</v>
      </c>
      <c r="O387" t="s">
        <v>81</v>
      </c>
      <c r="P387" t="s">
        <v>1192</v>
      </c>
      <c r="Q387" t="s">
        <v>1187</v>
      </c>
      <c r="R387" t="s">
        <v>50</v>
      </c>
      <c r="S387" s="1">
        <v>0.32</v>
      </c>
      <c r="T387" s="1">
        <v>13.31869463</v>
      </c>
      <c r="U387" s="1">
        <v>12.58553992</v>
      </c>
      <c r="V387" s="1">
        <v>3.2676750000000001</v>
      </c>
      <c r="W387" s="1">
        <v>0</v>
      </c>
      <c r="X387" t="s">
        <v>50</v>
      </c>
      <c r="Y387" s="1">
        <v>7.4999999999999997E-2</v>
      </c>
      <c r="Z387" t="s">
        <v>50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s="1">
        <v>0.2046</v>
      </c>
      <c r="AG387" t="s">
        <v>50</v>
      </c>
      <c r="AH387" t="s">
        <v>50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t="s">
        <v>1188</v>
      </c>
      <c r="AQ387" s="1">
        <v>10607</v>
      </c>
      <c r="AR387" t="s">
        <v>51</v>
      </c>
    </row>
    <row r="388" spans="1:44">
      <c r="A388" s="1">
        <v>107167</v>
      </c>
      <c r="B388" s="1">
        <v>107169</v>
      </c>
      <c r="C388" s="1">
        <v>89905</v>
      </c>
      <c r="D388" t="s">
        <v>1183</v>
      </c>
      <c r="E388" t="s">
        <v>1184</v>
      </c>
      <c r="F388" t="str">
        <f>VLOOKUP(E388,Tabela2[#All],2,FALSE)</f>
        <v>SEM FAMÍLIA</v>
      </c>
      <c r="G388" t="s">
        <v>1185</v>
      </c>
      <c r="H388" s="1">
        <v>1.27</v>
      </c>
      <c r="I388" s="1">
        <v>1.27</v>
      </c>
      <c r="J388" t="s">
        <v>46</v>
      </c>
      <c r="K388" s="1">
        <v>62.042875000000002</v>
      </c>
      <c r="L388" s="1">
        <v>4</v>
      </c>
      <c r="M388" s="1">
        <v>7.93</v>
      </c>
      <c r="N388" s="1">
        <v>32958</v>
      </c>
      <c r="O388" t="s">
        <v>81</v>
      </c>
      <c r="P388" t="s">
        <v>1193</v>
      </c>
      <c r="Q388" t="s">
        <v>1187</v>
      </c>
      <c r="R388" t="s">
        <v>50</v>
      </c>
      <c r="S388" s="1">
        <v>0.32</v>
      </c>
      <c r="T388" s="1">
        <v>13.31869463</v>
      </c>
      <c r="U388" s="1">
        <v>12.58553992</v>
      </c>
      <c r="V388" s="1">
        <v>3.2676750000000001</v>
      </c>
      <c r="W388" s="1">
        <v>0</v>
      </c>
      <c r="X388" t="s">
        <v>50</v>
      </c>
      <c r="Y388" s="1">
        <v>7.4999999999999997E-2</v>
      </c>
      <c r="Z388" t="s">
        <v>50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s="1">
        <v>0.2046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t="s">
        <v>1188</v>
      </c>
      <c r="AQ388" s="1">
        <v>10607</v>
      </c>
      <c r="AR388" t="s">
        <v>51</v>
      </c>
    </row>
    <row r="389" spans="1:44">
      <c r="A389" s="1">
        <v>107167</v>
      </c>
      <c r="B389" s="1">
        <v>107169</v>
      </c>
      <c r="C389" s="1">
        <v>89905</v>
      </c>
      <c r="D389" t="s">
        <v>1183</v>
      </c>
      <c r="E389" t="s">
        <v>1184</v>
      </c>
      <c r="F389" t="str">
        <f>VLOOKUP(E389,Tabela2[#All],2,FALSE)</f>
        <v>SEM FAMÍLIA</v>
      </c>
      <c r="G389" t="s">
        <v>1185</v>
      </c>
      <c r="H389" s="1">
        <v>1.27</v>
      </c>
      <c r="I389" s="1">
        <v>1.27</v>
      </c>
      <c r="J389" t="s">
        <v>46</v>
      </c>
      <c r="K389" s="1">
        <v>62.042875000000002</v>
      </c>
      <c r="L389" s="1">
        <v>4</v>
      </c>
      <c r="M389" s="1">
        <v>7.93</v>
      </c>
      <c r="N389" s="1">
        <v>32958</v>
      </c>
      <c r="O389" t="s">
        <v>81</v>
      </c>
      <c r="P389" t="s">
        <v>1194</v>
      </c>
      <c r="Q389" t="s">
        <v>1187</v>
      </c>
      <c r="R389" t="s">
        <v>50</v>
      </c>
      <c r="S389" s="1">
        <v>0.32</v>
      </c>
      <c r="T389" s="1">
        <v>13.31869463</v>
      </c>
      <c r="U389" s="1">
        <v>12.58553992</v>
      </c>
      <c r="V389" s="1">
        <v>3.2676750000000001</v>
      </c>
      <c r="W389" s="1">
        <v>0</v>
      </c>
      <c r="X389" t="s">
        <v>50</v>
      </c>
      <c r="Y389" s="1">
        <v>7.4999999999999997E-2</v>
      </c>
      <c r="Z389" t="s">
        <v>50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s="1">
        <v>0.2046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1188</v>
      </c>
      <c r="AQ389" s="1">
        <v>10607</v>
      </c>
      <c r="AR389" t="s">
        <v>51</v>
      </c>
    </row>
    <row r="390" spans="1:44">
      <c r="A390" s="1">
        <v>107167</v>
      </c>
      <c r="B390" s="1">
        <v>107169</v>
      </c>
      <c r="C390" s="1">
        <v>89905</v>
      </c>
      <c r="D390" t="s">
        <v>1183</v>
      </c>
      <c r="E390" t="s">
        <v>1184</v>
      </c>
      <c r="F390" t="str">
        <f>VLOOKUP(E390,Tabela2[#All],2,FALSE)</f>
        <v>SEM FAMÍLIA</v>
      </c>
      <c r="G390" t="s">
        <v>1185</v>
      </c>
      <c r="H390" s="1">
        <v>1.27</v>
      </c>
      <c r="I390" s="1">
        <v>1.27</v>
      </c>
      <c r="J390" t="s">
        <v>46</v>
      </c>
      <c r="K390" s="1">
        <v>62.042875000000002</v>
      </c>
      <c r="L390" s="1">
        <v>4</v>
      </c>
      <c r="M390" s="1">
        <v>7.93</v>
      </c>
      <c r="N390" s="1">
        <v>32958</v>
      </c>
      <c r="O390" t="s">
        <v>81</v>
      </c>
      <c r="P390" t="s">
        <v>1195</v>
      </c>
      <c r="Q390" t="s">
        <v>60</v>
      </c>
      <c r="R390" t="s">
        <v>50</v>
      </c>
      <c r="S390" s="1">
        <v>0.32</v>
      </c>
      <c r="T390" s="1">
        <v>13.31869463</v>
      </c>
      <c r="U390" s="1">
        <v>12.58553992</v>
      </c>
      <c r="V390" s="1">
        <v>3.2676750000000001</v>
      </c>
      <c r="W390" s="1">
        <v>0</v>
      </c>
      <c r="X390" t="s">
        <v>50</v>
      </c>
      <c r="Y390" s="1">
        <v>7.4999999999999997E-2</v>
      </c>
      <c r="Z390" t="s">
        <v>50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s="1">
        <v>0.2046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t="s">
        <v>1188</v>
      </c>
      <c r="AQ390" s="1">
        <v>10607</v>
      </c>
      <c r="AR390" t="s">
        <v>51</v>
      </c>
    </row>
    <row r="391" spans="1:44">
      <c r="A391" s="1">
        <v>107167</v>
      </c>
      <c r="B391" s="1">
        <v>107169</v>
      </c>
      <c r="C391" s="1">
        <v>89905</v>
      </c>
      <c r="D391" t="s">
        <v>1183</v>
      </c>
      <c r="E391" t="s">
        <v>1184</v>
      </c>
      <c r="F391" t="str">
        <f>VLOOKUP(E391,Tabela2[#All],2,FALSE)</f>
        <v>SEM FAMÍLIA</v>
      </c>
      <c r="G391" t="s">
        <v>1185</v>
      </c>
      <c r="H391" s="1">
        <v>1.27</v>
      </c>
      <c r="I391" s="1">
        <v>1.27</v>
      </c>
      <c r="J391" t="s">
        <v>46</v>
      </c>
      <c r="K391" s="1">
        <v>62.042875000000002</v>
      </c>
      <c r="L391" s="1">
        <v>4</v>
      </c>
      <c r="M391" s="1">
        <v>7.93</v>
      </c>
      <c r="N391" s="1">
        <v>32958</v>
      </c>
      <c r="O391" t="s">
        <v>81</v>
      </c>
      <c r="P391" t="s">
        <v>1196</v>
      </c>
      <c r="Q391" t="s">
        <v>1187</v>
      </c>
      <c r="R391" t="s">
        <v>50</v>
      </c>
      <c r="S391" s="1">
        <v>0.32</v>
      </c>
      <c r="T391" s="1">
        <v>13.31869463</v>
      </c>
      <c r="U391" s="1">
        <v>12.58553992</v>
      </c>
      <c r="V391" s="1">
        <v>3.2676750000000001</v>
      </c>
      <c r="W391" s="1">
        <v>0</v>
      </c>
      <c r="X391" t="s">
        <v>50</v>
      </c>
      <c r="Y391" s="1">
        <v>7.4999999999999997E-2</v>
      </c>
      <c r="Z391" t="s">
        <v>50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s="1">
        <v>0.2046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t="s">
        <v>1188</v>
      </c>
      <c r="AQ391" s="1">
        <v>10607</v>
      </c>
      <c r="AR391" t="s">
        <v>51</v>
      </c>
    </row>
    <row r="392" spans="1:44">
      <c r="A392" s="1">
        <v>107167</v>
      </c>
      <c r="B392" s="1">
        <v>107169</v>
      </c>
      <c r="C392" s="1">
        <v>89905</v>
      </c>
      <c r="D392" t="s">
        <v>1183</v>
      </c>
      <c r="E392" t="s">
        <v>1184</v>
      </c>
      <c r="F392" t="str">
        <f>VLOOKUP(E392,Tabela2[#All],2,FALSE)</f>
        <v>SEM FAMÍLIA</v>
      </c>
      <c r="G392" t="s">
        <v>1185</v>
      </c>
      <c r="H392" s="1">
        <v>1.27</v>
      </c>
      <c r="I392" s="1">
        <v>1.27</v>
      </c>
      <c r="J392" t="s">
        <v>46</v>
      </c>
      <c r="K392" s="1">
        <v>62.042875000000002</v>
      </c>
      <c r="L392" s="1">
        <v>4</v>
      </c>
      <c r="M392" s="1">
        <v>7.93</v>
      </c>
      <c r="N392" s="1">
        <v>32958</v>
      </c>
      <c r="O392" t="s">
        <v>81</v>
      </c>
      <c r="P392" t="s">
        <v>1197</v>
      </c>
      <c r="Q392" t="s">
        <v>1187</v>
      </c>
      <c r="R392" t="s">
        <v>50</v>
      </c>
      <c r="S392" s="1">
        <v>0.32</v>
      </c>
      <c r="T392" s="1">
        <v>13.31869463</v>
      </c>
      <c r="U392" s="1">
        <v>12.58553992</v>
      </c>
      <c r="V392" s="1">
        <v>3.2676750000000001</v>
      </c>
      <c r="W392" s="1">
        <v>0</v>
      </c>
      <c r="X392" t="s">
        <v>50</v>
      </c>
      <c r="Y392" s="1">
        <v>7.4999999999999997E-2</v>
      </c>
      <c r="Z392" t="s">
        <v>50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s="1">
        <v>0.2046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t="s">
        <v>1188</v>
      </c>
      <c r="AQ392" s="1">
        <v>10607</v>
      </c>
      <c r="AR392" t="s">
        <v>51</v>
      </c>
    </row>
    <row r="393" spans="1:44">
      <c r="A393" s="1">
        <v>107167</v>
      </c>
      <c r="B393" s="1">
        <v>107169</v>
      </c>
      <c r="C393" s="1">
        <v>89905</v>
      </c>
      <c r="D393" t="s">
        <v>1183</v>
      </c>
      <c r="E393" t="s">
        <v>1184</v>
      </c>
      <c r="F393" t="str">
        <f>VLOOKUP(E393,Tabela2[#All],2,FALSE)</f>
        <v>SEM FAMÍLIA</v>
      </c>
      <c r="G393" t="s">
        <v>1185</v>
      </c>
      <c r="H393" s="1">
        <v>1.27</v>
      </c>
      <c r="I393" s="1">
        <v>1.27</v>
      </c>
      <c r="J393" t="s">
        <v>46</v>
      </c>
      <c r="K393" s="1">
        <v>62.042875000000002</v>
      </c>
      <c r="L393" s="1">
        <v>4</v>
      </c>
      <c r="M393" s="1">
        <v>7.93</v>
      </c>
      <c r="N393" s="1">
        <v>32958</v>
      </c>
      <c r="O393" t="s">
        <v>81</v>
      </c>
      <c r="P393" t="s">
        <v>1198</v>
      </c>
      <c r="Q393" t="s">
        <v>1187</v>
      </c>
      <c r="R393" t="s">
        <v>50</v>
      </c>
      <c r="S393" s="1">
        <v>0.32</v>
      </c>
      <c r="T393" s="1">
        <v>13.31869463</v>
      </c>
      <c r="U393" s="1">
        <v>12.58553992</v>
      </c>
      <c r="V393" s="1">
        <v>3.2676750000000001</v>
      </c>
      <c r="W393" s="1">
        <v>0</v>
      </c>
      <c r="X393" t="s">
        <v>50</v>
      </c>
      <c r="Y393" s="1">
        <v>7.4999999999999997E-2</v>
      </c>
      <c r="Z393" t="s">
        <v>50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s="1">
        <v>0.2046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t="s">
        <v>1188</v>
      </c>
      <c r="AQ393" s="1">
        <v>10607</v>
      </c>
      <c r="AR393" t="s">
        <v>51</v>
      </c>
    </row>
    <row r="394" spans="1:44">
      <c r="A394" s="1">
        <v>107167</v>
      </c>
      <c r="B394" s="1">
        <v>107169</v>
      </c>
      <c r="C394" s="1">
        <v>89905</v>
      </c>
      <c r="D394" t="s">
        <v>1183</v>
      </c>
      <c r="E394" t="s">
        <v>1184</v>
      </c>
      <c r="F394" t="str">
        <f>VLOOKUP(E394,Tabela2[#All],2,FALSE)</f>
        <v>SEM FAMÍLIA</v>
      </c>
      <c r="G394" t="s">
        <v>1185</v>
      </c>
      <c r="H394" s="1">
        <v>1.27</v>
      </c>
      <c r="I394" s="1">
        <v>1.27</v>
      </c>
      <c r="J394" t="s">
        <v>46</v>
      </c>
      <c r="K394" s="1">
        <v>62.042875000000002</v>
      </c>
      <c r="L394" s="1">
        <v>4</v>
      </c>
      <c r="M394" s="1">
        <v>7.93</v>
      </c>
      <c r="N394" s="1">
        <v>32958</v>
      </c>
      <c r="O394" t="s">
        <v>81</v>
      </c>
      <c r="P394" t="s">
        <v>1199</v>
      </c>
      <c r="Q394" t="s">
        <v>1187</v>
      </c>
      <c r="R394" t="s">
        <v>50</v>
      </c>
      <c r="S394" s="1">
        <v>0.32</v>
      </c>
      <c r="T394" s="1">
        <v>13.31869463</v>
      </c>
      <c r="U394" s="1">
        <v>12.58553992</v>
      </c>
      <c r="V394" s="1">
        <v>3.2676750000000001</v>
      </c>
      <c r="W394" s="1">
        <v>0</v>
      </c>
      <c r="X394" t="s">
        <v>50</v>
      </c>
      <c r="Y394" s="1">
        <v>7.4999999999999997E-2</v>
      </c>
      <c r="Z394" t="s">
        <v>50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s="1">
        <v>0.2046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t="s">
        <v>1188</v>
      </c>
      <c r="AQ394" s="1">
        <v>10607</v>
      </c>
      <c r="AR394" t="s">
        <v>51</v>
      </c>
    </row>
    <row r="395" spans="1:44">
      <c r="A395" s="1">
        <v>107167</v>
      </c>
      <c r="B395" s="1">
        <v>107169</v>
      </c>
      <c r="C395" s="1">
        <v>89905</v>
      </c>
      <c r="D395" t="s">
        <v>1183</v>
      </c>
      <c r="E395" t="s">
        <v>1184</v>
      </c>
      <c r="F395" t="str">
        <f>VLOOKUP(E395,Tabela2[#All],2,FALSE)</f>
        <v>SEM FAMÍLIA</v>
      </c>
      <c r="G395" t="s">
        <v>1185</v>
      </c>
      <c r="H395" s="1">
        <v>1.27</v>
      </c>
      <c r="I395" s="1">
        <v>1.27</v>
      </c>
      <c r="J395" t="s">
        <v>46</v>
      </c>
      <c r="K395" s="1">
        <v>62.042875000000002</v>
      </c>
      <c r="L395" s="1">
        <v>4</v>
      </c>
      <c r="M395" s="1">
        <v>7.93</v>
      </c>
      <c r="N395" s="1">
        <v>32958</v>
      </c>
      <c r="O395" t="s">
        <v>81</v>
      </c>
      <c r="P395" t="s">
        <v>1200</v>
      </c>
      <c r="Q395" t="s">
        <v>1187</v>
      </c>
      <c r="R395" t="s">
        <v>50</v>
      </c>
      <c r="S395" s="1">
        <v>0.32</v>
      </c>
      <c r="T395" s="1">
        <v>13.31869463</v>
      </c>
      <c r="U395" s="1">
        <v>12.58553992</v>
      </c>
      <c r="V395" s="1">
        <v>3.2676750000000001</v>
      </c>
      <c r="W395" s="1">
        <v>0</v>
      </c>
      <c r="X395" t="s">
        <v>50</v>
      </c>
      <c r="Y395" s="1">
        <v>7.4999999999999997E-2</v>
      </c>
      <c r="Z395" t="s">
        <v>50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s="1">
        <v>0.2046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t="s">
        <v>1188</v>
      </c>
      <c r="AQ395" s="1">
        <v>10607</v>
      </c>
      <c r="AR395" t="s">
        <v>51</v>
      </c>
    </row>
    <row r="396" spans="1:44">
      <c r="A396" s="1">
        <v>107167</v>
      </c>
      <c r="B396" s="1">
        <v>107169</v>
      </c>
      <c r="C396" s="1">
        <v>89905</v>
      </c>
      <c r="D396" t="s">
        <v>1183</v>
      </c>
      <c r="E396" t="s">
        <v>1184</v>
      </c>
      <c r="F396" t="str">
        <f>VLOOKUP(E396,Tabela2[#All],2,FALSE)</f>
        <v>SEM FAMÍLIA</v>
      </c>
      <c r="G396" t="s">
        <v>1185</v>
      </c>
      <c r="H396" s="1">
        <v>1.27</v>
      </c>
      <c r="I396" s="1">
        <v>1.27</v>
      </c>
      <c r="J396" t="s">
        <v>46</v>
      </c>
      <c r="K396" s="1">
        <v>62.042875000000002</v>
      </c>
      <c r="L396" s="1">
        <v>4</v>
      </c>
      <c r="M396" s="1">
        <v>7.93</v>
      </c>
      <c r="N396" s="1">
        <v>32958</v>
      </c>
      <c r="O396" t="s">
        <v>81</v>
      </c>
      <c r="P396" t="s">
        <v>1201</v>
      </c>
      <c r="Q396" t="s">
        <v>1187</v>
      </c>
      <c r="R396" t="s">
        <v>50</v>
      </c>
      <c r="S396" s="1">
        <v>0.32</v>
      </c>
      <c r="T396" s="1">
        <v>13.31869463</v>
      </c>
      <c r="U396" s="1">
        <v>12.58553992</v>
      </c>
      <c r="V396" s="1">
        <v>3.2676750000000001</v>
      </c>
      <c r="W396" s="1">
        <v>0</v>
      </c>
      <c r="X396" t="s">
        <v>50</v>
      </c>
      <c r="Y396" s="1">
        <v>7.4999999999999997E-2</v>
      </c>
      <c r="Z396" t="s">
        <v>50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s="1">
        <v>0.2046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t="s">
        <v>1188</v>
      </c>
      <c r="AQ396" s="1">
        <v>10607</v>
      </c>
      <c r="AR396" t="s">
        <v>51</v>
      </c>
    </row>
    <row r="397" spans="1:44">
      <c r="A397" s="1">
        <v>107167</v>
      </c>
      <c r="B397" s="1">
        <v>107169</v>
      </c>
      <c r="C397" s="1">
        <v>89905</v>
      </c>
      <c r="D397" t="s">
        <v>1183</v>
      </c>
      <c r="E397" t="s">
        <v>1184</v>
      </c>
      <c r="F397" t="str">
        <f>VLOOKUP(E397,Tabela2[#All],2,FALSE)</f>
        <v>SEM FAMÍLIA</v>
      </c>
      <c r="G397" t="s">
        <v>1185</v>
      </c>
      <c r="H397" s="1">
        <v>1.27</v>
      </c>
      <c r="I397" s="1">
        <v>1.27</v>
      </c>
      <c r="J397" t="s">
        <v>46</v>
      </c>
      <c r="K397" s="1">
        <v>62.042875000000002</v>
      </c>
      <c r="L397" s="1">
        <v>4</v>
      </c>
      <c r="M397" s="1">
        <v>7.93</v>
      </c>
      <c r="N397" s="1">
        <v>32958</v>
      </c>
      <c r="O397" t="s">
        <v>81</v>
      </c>
      <c r="P397" t="s">
        <v>1202</v>
      </c>
      <c r="Q397" t="s">
        <v>1187</v>
      </c>
      <c r="R397" t="s">
        <v>50</v>
      </c>
      <c r="S397" s="1">
        <v>0.32</v>
      </c>
      <c r="T397" s="1">
        <v>13.31869463</v>
      </c>
      <c r="U397" s="1">
        <v>12.58553992</v>
      </c>
      <c r="V397" s="1">
        <v>3.2676750000000001</v>
      </c>
      <c r="W397" s="1">
        <v>0</v>
      </c>
      <c r="X397" t="s">
        <v>50</v>
      </c>
      <c r="Y397" s="1">
        <v>7.4999999999999997E-2</v>
      </c>
      <c r="Z397" t="s">
        <v>50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s="1">
        <v>0.2046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t="s">
        <v>1188</v>
      </c>
      <c r="AQ397" s="1">
        <v>10607</v>
      </c>
      <c r="AR397" t="s">
        <v>51</v>
      </c>
    </row>
    <row r="398" spans="1:44">
      <c r="A398" s="1">
        <v>107167</v>
      </c>
      <c r="B398" s="1">
        <v>107169</v>
      </c>
      <c r="C398" s="1">
        <v>89905</v>
      </c>
      <c r="D398" t="s">
        <v>1183</v>
      </c>
      <c r="E398" t="s">
        <v>1184</v>
      </c>
      <c r="F398" t="str">
        <f>VLOOKUP(E398,Tabela2[#All],2,FALSE)</f>
        <v>SEM FAMÍLIA</v>
      </c>
      <c r="G398" t="s">
        <v>1185</v>
      </c>
      <c r="H398" s="1">
        <v>1.27</v>
      </c>
      <c r="I398" s="1">
        <v>1.27</v>
      </c>
      <c r="J398" t="s">
        <v>46</v>
      </c>
      <c r="K398" s="1">
        <v>62.042875000000002</v>
      </c>
      <c r="L398" s="1">
        <v>4</v>
      </c>
      <c r="M398" s="1">
        <v>7.93</v>
      </c>
      <c r="N398" s="1">
        <v>32958</v>
      </c>
      <c r="O398" t="s">
        <v>81</v>
      </c>
      <c r="P398" t="s">
        <v>1203</v>
      </c>
      <c r="Q398" t="s">
        <v>1187</v>
      </c>
      <c r="R398" t="s">
        <v>50</v>
      </c>
      <c r="S398" s="1">
        <v>0.32</v>
      </c>
      <c r="T398" s="1">
        <v>13.31869463</v>
      </c>
      <c r="U398" s="1">
        <v>12.58553992</v>
      </c>
      <c r="V398" s="1">
        <v>3.2676750000000001</v>
      </c>
      <c r="W398" s="1">
        <v>0</v>
      </c>
      <c r="X398" t="s">
        <v>50</v>
      </c>
      <c r="Y398" s="1">
        <v>7.4999999999999997E-2</v>
      </c>
      <c r="Z398" t="s">
        <v>50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s="1">
        <v>0.2046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t="s">
        <v>1188</v>
      </c>
      <c r="AQ398" s="1">
        <v>10607</v>
      </c>
      <c r="AR398" t="s">
        <v>51</v>
      </c>
    </row>
    <row r="399" spans="1:44">
      <c r="A399" s="1">
        <v>107167</v>
      </c>
      <c r="B399" s="1">
        <v>107169</v>
      </c>
      <c r="C399" s="1">
        <v>89905</v>
      </c>
      <c r="D399" t="s">
        <v>1183</v>
      </c>
      <c r="E399" t="s">
        <v>1184</v>
      </c>
      <c r="F399" t="str">
        <f>VLOOKUP(E399,Tabela2[#All],2,FALSE)</f>
        <v>SEM FAMÍLIA</v>
      </c>
      <c r="G399" t="s">
        <v>1185</v>
      </c>
      <c r="H399" s="1">
        <v>1.27</v>
      </c>
      <c r="I399" s="1">
        <v>1.27</v>
      </c>
      <c r="J399" t="s">
        <v>46</v>
      </c>
      <c r="K399" s="1">
        <v>62.042875000000002</v>
      </c>
      <c r="L399" s="1">
        <v>4</v>
      </c>
      <c r="M399" s="1">
        <v>7.93</v>
      </c>
      <c r="N399" s="1">
        <v>32958</v>
      </c>
      <c r="O399" t="s">
        <v>81</v>
      </c>
      <c r="P399" t="s">
        <v>1204</v>
      </c>
      <c r="Q399" t="s">
        <v>1187</v>
      </c>
      <c r="R399" t="s">
        <v>50</v>
      </c>
      <c r="S399" s="1">
        <v>0.32</v>
      </c>
      <c r="T399" s="1">
        <v>13.31869463</v>
      </c>
      <c r="U399" s="1">
        <v>12.58553992</v>
      </c>
      <c r="V399" s="1">
        <v>3.2676750000000001</v>
      </c>
      <c r="W399" s="1">
        <v>0</v>
      </c>
      <c r="X399" t="s">
        <v>50</v>
      </c>
      <c r="Y399" s="1">
        <v>7.4999999999999997E-2</v>
      </c>
      <c r="Z399" t="s">
        <v>50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s="1">
        <v>0.2046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t="s">
        <v>1188</v>
      </c>
      <c r="AQ399" s="1">
        <v>10607</v>
      </c>
      <c r="AR399" t="s">
        <v>51</v>
      </c>
    </row>
    <row r="400" spans="1:44">
      <c r="A400" s="1">
        <v>108249</v>
      </c>
      <c r="B400" s="1">
        <v>108251</v>
      </c>
      <c r="C400" s="1">
        <v>90926</v>
      </c>
      <c r="D400" t="s">
        <v>1205</v>
      </c>
      <c r="E400" t="s">
        <v>1206</v>
      </c>
      <c r="F400" t="str">
        <f>VLOOKUP(E400,Tabela2[#All],2,FALSE)</f>
        <v>SEM FAMÍLIA</v>
      </c>
      <c r="G400" t="s">
        <v>1207</v>
      </c>
      <c r="H400" s="1">
        <v>0.51800000000000002</v>
      </c>
      <c r="I400" s="1">
        <v>0.51800000000000002</v>
      </c>
      <c r="J400" t="s">
        <v>46</v>
      </c>
      <c r="K400" s="1">
        <v>54.496882999999997</v>
      </c>
      <c r="L400" s="1">
        <v>12</v>
      </c>
      <c r="M400" s="1">
        <v>11.23</v>
      </c>
      <c r="N400" s="1">
        <v>32958</v>
      </c>
      <c r="O400" t="s">
        <v>81</v>
      </c>
      <c r="P400" t="s">
        <v>1203</v>
      </c>
      <c r="Q400" t="s">
        <v>1187</v>
      </c>
      <c r="R400" t="s">
        <v>50</v>
      </c>
      <c r="S400" t="s">
        <v>50</v>
      </c>
      <c r="T400" s="1">
        <v>5.3377653399999998</v>
      </c>
      <c r="U400" s="1">
        <v>5.1617260099999998</v>
      </c>
      <c r="V400" s="1">
        <v>1.4238583333333332</v>
      </c>
      <c r="W400" s="1">
        <v>0</v>
      </c>
      <c r="X400" t="s">
        <v>50</v>
      </c>
      <c r="Y400" s="1">
        <v>1.4999999999999999E-2</v>
      </c>
      <c r="Z400" t="s">
        <v>50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s="1">
        <v>6.8174999999999999E-2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t="s">
        <v>1208</v>
      </c>
      <c r="AQ400" s="1">
        <v>10967</v>
      </c>
      <c r="AR400" t="s">
        <v>51</v>
      </c>
    </row>
    <row r="401" spans="1:44">
      <c r="A401" s="1">
        <v>108249</v>
      </c>
      <c r="B401" s="1">
        <v>108251</v>
      </c>
      <c r="C401" s="1">
        <v>90926</v>
      </c>
      <c r="D401" t="s">
        <v>1205</v>
      </c>
      <c r="E401" t="s">
        <v>1206</v>
      </c>
      <c r="F401" t="str">
        <f>VLOOKUP(E401,Tabela2[#All],2,FALSE)</f>
        <v>SEM FAMÍLIA</v>
      </c>
      <c r="G401" t="s">
        <v>1207</v>
      </c>
      <c r="H401" s="1">
        <v>0.51800000000000002</v>
      </c>
      <c r="I401" s="1">
        <v>0.51800000000000002</v>
      </c>
      <c r="J401" t="s">
        <v>46</v>
      </c>
      <c r="K401" s="1">
        <v>54.496882999999997</v>
      </c>
      <c r="L401" s="1">
        <v>12</v>
      </c>
      <c r="M401" s="1">
        <v>11.23</v>
      </c>
      <c r="N401" s="1">
        <v>32958</v>
      </c>
      <c r="O401" t="s">
        <v>81</v>
      </c>
      <c r="P401" t="s">
        <v>1191</v>
      </c>
      <c r="Q401" t="s">
        <v>1187</v>
      </c>
      <c r="R401" t="s">
        <v>50</v>
      </c>
      <c r="S401" t="s">
        <v>50</v>
      </c>
      <c r="T401" s="1">
        <v>5.3377653399999998</v>
      </c>
      <c r="U401" s="1">
        <v>5.1617260099999998</v>
      </c>
      <c r="V401" s="1">
        <v>1.4238583333333332</v>
      </c>
      <c r="W401" s="1">
        <v>0</v>
      </c>
      <c r="X401" t="s">
        <v>50</v>
      </c>
      <c r="Y401" s="1">
        <v>1.4999999999999999E-2</v>
      </c>
      <c r="Z401" t="s">
        <v>50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s="1">
        <v>6.8174999999999999E-2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t="s">
        <v>1208</v>
      </c>
      <c r="AQ401" s="1">
        <v>10967</v>
      </c>
      <c r="AR401" t="s">
        <v>51</v>
      </c>
    </row>
    <row r="402" spans="1:44">
      <c r="A402" s="1">
        <v>108249</v>
      </c>
      <c r="B402" s="1">
        <v>108251</v>
      </c>
      <c r="C402" s="1">
        <v>90926</v>
      </c>
      <c r="D402" t="s">
        <v>1205</v>
      </c>
      <c r="E402" t="s">
        <v>1206</v>
      </c>
      <c r="F402" t="str">
        <f>VLOOKUP(E402,Tabela2[#All],2,FALSE)</f>
        <v>SEM FAMÍLIA</v>
      </c>
      <c r="G402" t="s">
        <v>1207</v>
      </c>
      <c r="H402" s="1">
        <v>0.51800000000000002</v>
      </c>
      <c r="I402" s="1">
        <v>0.51800000000000002</v>
      </c>
      <c r="J402" t="s">
        <v>46</v>
      </c>
      <c r="K402" s="1">
        <v>54.496882999999997</v>
      </c>
      <c r="L402" s="1">
        <v>12</v>
      </c>
      <c r="M402" s="1">
        <v>11.23</v>
      </c>
      <c r="N402" s="1">
        <v>32958</v>
      </c>
      <c r="O402" t="s">
        <v>81</v>
      </c>
      <c r="P402" t="s">
        <v>1193</v>
      </c>
      <c r="Q402" t="s">
        <v>1187</v>
      </c>
      <c r="R402" t="s">
        <v>50</v>
      </c>
      <c r="S402" t="s">
        <v>50</v>
      </c>
      <c r="T402" s="1">
        <v>5.3377653399999998</v>
      </c>
      <c r="U402" s="1">
        <v>5.1617260099999998</v>
      </c>
      <c r="V402" s="1">
        <v>1.4238583333333332</v>
      </c>
      <c r="W402" s="1">
        <v>0</v>
      </c>
      <c r="X402" t="s">
        <v>50</v>
      </c>
      <c r="Y402" s="1">
        <v>1.4999999999999999E-2</v>
      </c>
      <c r="Z402" t="s">
        <v>50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s="1">
        <v>6.8174999999999999E-2</v>
      </c>
      <c r="AG402" t="s">
        <v>50</v>
      </c>
      <c r="AH402" t="s">
        <v>50</v>
      </c>
      <c r="AI402" t="s">
        <v>50</v>
      </c>
      <c r="AJ402" t="s">
        <v>50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t="s">
        <v>1208</v>
      </c>
      <c r="AQ402" s="1">
        <v>10967</v>
      </c>
      <c r="AR402" t="s">
        <v>51</v>
      </c>
    </row>
    <row r="403" spans="1:44">
      <c r="A403" s="1">
        <v>108249</v>
      </c>
      <c r="B403" s="1">
        <v>108251</v>
      </c>
      <c r="C403" s="1">
        <v>90926</v>
      </c>
      <c r="D403" t="s">
        <v>1205</v>
      </c>
      <c r="E403" t="s">
        <v>1206</v>
      </c>
      <c r="F403" t="str">
        <f>VLOOKUP(E403,Tabela2[#All],2,FALSE)</f>
        <v>SEM FAMÍLIA</v>
      </c>
      <c r="G403" t="s">
        <v>1207</v>
      </c>
      <c r="H403" s="1">
        <v>0.51800000000000002</v>
      </c>
      <c r="I403" s="1">
        <v>0.51800000000000002</v>
      </c>
      <c r="J403" t="s">
        <v>46</v>
      </c>
      <c r="K403" s="1">
        <v>54.496882999999997</v>
      </c>
      <c r="L403" s="1">
        <v>12</v>
      </c>
      <c r="M403" s="1">
        <v>11.23</v>
      </c>
      <c r="N403" s="1">
        <v>32958</v>
      </c>
      <c r="O403" t="s">
        <v>81</v>
      </c>
      <c r="P403" t="s">
        <v>1199</v>
      </c>
      <c r="Q403" t="s">
        <v>1187</v>
      </c>
      <c r="R403" t="s">
        <v>50</v>
      </c>
      <c r="S403" t="s">
        <v>50</v>
      </c>
      <c r="T403" s="1">
        <v>5.3377653399999998</v>
      </c>
      <c r="U403" s="1">
        <v>5.1617260099999998</v>
      </c>
      <c r="V403" s="1">
        <v>1.4238583333333332</v>
      </c>
      <c r="W403" s="1">
        <v>0</v>
      </c>
      <c r="X403" t="s">
        <v>50</v>
      </c>
      <c r="Y403" s="1">
        <v>1.4999999999999999E-2</v>
      </c>
      <c r="Z403" t="s">
        <v>50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s="1">
        <v>6.8174999999999999E-2</v>
      </c>
      <c r="AG403" t="s">
        <v>50</v>
      </c>
      <c r="AH403" t="s">
        <v>50</v>
      </c>
      <c r="AI403" t="s">
        <v>50</v>
      </c>
      <c r="AJ403" t="s">
        <v>50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t="s">
        <v>1208</v>
      </c>
      <c r="AQ403" s="1">
        <v>10967</v>
      </c>
      <c r="AR403" t="s">
        <v>51</v>
      </c>
    </row>
    <row r="404" spans="1:44">
      <c r="A404" s="1">
        <v>108249</v>
      </c>
      <c r="B404" s="1">
        <v>108251</v>
      </c>
      <c r="C404" s="1">
        <v>90926</v>
      </c>
      <c r="D404" t="s">
        <v>1205</v>
      </c>
      <c r="E404" t="s">
        <v>1206</v>
      </c>
      <c r="F404" t="str">
        <f>VLOOKUP(E404,Tabela2[#All],2,FALSE)</f>
        <v>SEM FAMÍLIA</v>
      </c>
      <c r="G404" t="s">
        <v>1207</v>
      </c>
      <c r="H404" s="1">
        <v>0.51800000000000002</v>
      </c>
      <c r="I404" s="1">
        <v>0.51800000000000002</v>
      </c>
      <c r="J404" t="s">
        <v>46</v>
      </c>
      <c r="K404" s="1">
        <v>54.496882999999997</v>
      </c>
      <c r="L404" s="1">
        <v>12</v>
      </c>
      <c r="M404" s="1">
        <v>11.23</v>
      </c>
      <c r="N404" s="1">
        <v>32958</v>
      </c>
      <c r="O404" t="s">
        <v>81</v>
      </c>
      <c r="P404" t="s">
        <v>1197</v>
      </c>
      <c r="Q404" t="s">
        <v>1187</v>
      </c>
      <c r="R404" t="s">
        <v>50</v>
      </c>
      <c r="S404" t="s">
        <v>50</v>
      </c>
      <c r="T404" s="1">
        <v>5.3377653399999998</v>
      </c>
      <c r="U404" s="1">
        <v>5.1617260099999998</v>
      </c>
      <c r="V404" s="1">
        <v>1.4238583333333332</v>
      </c>
      <c r="W404" s="1">
        <v>0</v>
      </c>
      <c r="X404" t="s">
        <v>50</v>
      </c>
      <c r="Y404" s="1">
        <v>1.4999999999999999E-2</v>
      </c>
      <c r="Z404" t="s">
        <v>50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s="1">
        <v>6.8174999999999999E-2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t="s">
        <v>1208</v>
      </c>
      <c r="AQ404" s="1">
        <v>10967</v>
      </c>
      <c r="AR404" t="s">
        <v>51</v>
      </c>
    </row>
    <row r="405" spans="1:44">
      <c r="A405" s="1">
        <v>107187</v>
      </c>
      <c r="B405" s="1">
        <v>107189</v>
      </c>
      <c r="C405" s="1">
        <v>89925</v>
      </c>
      <c r="D405" t="s">
        <v>1209</v>
      </c>
      <c r="E405" t="s">
        <v>1210</v>
      </c>
      <c r="F405" t="str">
        <f>VLOOKUP(E405,Tabela2[#All],2,FALSE)</f>
        <v>SEM FAMÍLIA</v>
      </c>
      <c r="G405" t="s">
        <v>1211</v>
      </c>
      <c r="H405" s="1">
        <v>0.65</v>
      </c>
      <c r="I405" s="1">
        <v>0.65</v>
      </c>
      <c r="J405" t="s">
        <v>46</v>
      </c>
      <c r="K405" s="1">
        <v>52.419355000000003</v>
      </c>
      <c r="L405" s="1">
        <v>8</v>
      </c>
      <c r="M405" s="1">
        <v>9.92</v>
      </c>
      <c r="N405" s="1">
        <v>32963</v>
      </c>
      <c r="O405" t="s">
        <v>436</v>
      </c>
      <c r="P405" t="s">
        <v>1197</v>
      </c>
      <c r="Q405" t="s">
        <v>1187</v>
      </c>
      <c r="R405" t="s">
        <v>50</v>
      </c>
      <c r="S405" s="1">
        <v>0.32</v>
      </c>
      <c r="T405" s="1">
        <v>9.5725470799999997</v>
      </c>
      <c r="U405" s="1">
        <v>9.2165407300000002</v>
      </c>
      <c r="V405" s="1">
        <v>2.0684874999999998</v>
      </c>
      <c r="W405" s="1">
        <v>0</v>
      </c>
      <c r="X405" t="s">
        <v>50</v>
      </c>
      <c r="Y405" s="1">
        <v>2.5000000000000001E-2</v>
      </c>
      <c r="Z405" t="s">
        <v>50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s="1">
        <v>0.1023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t="s">
        <v>1212</v>
      </c>
      <c r="AQ405" s="1">
        <v>10627</v>
      </c>
      <c r="AR405" t="s">
        <v>51</v>
      </c>
    </row>
    <row r="406" spans="1:44">
      <c r="A406" s="1">
        <v>107187</v>
      </c>
      <c r="B406" s="1">
        <v>107189</v>
      </c>
      <c r="C406" s="1">
        <v>89925</v>
      </c>
      <c r="D406" t="s">
        <v>1209</v>
      </c>
      <c r="E406" t="s">
        <v>1210</v>
      </c>
      <c r="F406" t="str">
        <f>VLOOKUP(E406,Tabela2[#All],2,FALSE)</f>
        <v>SEM FAMÍLIA</v>
      </c>
      <c r="G406" t="s">
        <v>1211</v>
      </c>
      <c r="H406" s="1">
        <v>0.65</v>
      </c>
      <c r="I406" s="1">
        <v>0.65</v>
      </c>
      <c r="J406" t="s">
        <v>46</v>
      </c>
      <c r="K406" s="1">
        <v>52.419355000000003</v>
      </c>
      <c r="L406" s="1">
        <v>8</v>
      </c>
      <c r="M406" s="1">
        <v>9.92</v>
      </c>
      <c r="N406" s="1">
        <v>32963</v>
      </c>
      <c r="O406" t="s">
        <v>436</v>
      </c>
      <c r="P406" t="s">
        <v>1203</v>
      </c>
      <c r="Q406" t="s">
        <v>1187</v>
      </c>
      <c r="R406" t="s">
        <v>50</v>
      </c>
      <c r="S406" s="1">
        <v>0.32</v>
      </c>
      <c r="T406" s="1">
        <v>9.5725470799999997</v>
      </c>
      <c r="U406" s="1">
        <v>9.2165407300000002</v>
      </c>
      <c r="V406" s="1">
        <v>2.0684874999999998</v>
      </c>
      <c r="W406" s="1">
        <v>0</v>
      </c>
      <c r="X406" t="s">
        <v>50</v>
      </c>
      <c r="Y406" s="1">
        <v>2.5000000000000001E-2</v>
      </c>
      <c r="Z406" t="s">
        <v>50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s="1">
        <v>0.1023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t="s">
        <v>1212</v>
      </c>
      <c r="AQ406" s="1">
        <v>10627</v>
      </c>
      <c r="AR406" t="s">
        <v>51</v>
      </c>
    </row>
    <row r="407" spans="1:44">
      <c r="A407" s="1">
        <v>107187</v>
      </c>
      <c r="B407" s="1">
        <v>107189</v>
      </c>
      <c r="C407" s="1">
        <v>89925</v>
      </c>
      <c r="D407" t="s">
        <v>1209</v>
      </c>
      <c r="E407" t="s">
        <v>1210</v>
      </c>
      <c r="F407" t="str">
        <f>VLOOKUP(E407,Tabela2[#All],2,FALSE)</f>
        <v>SEM FAMÍLIA</v>
      </c>
      <c r="G407" t="s">
        <v>1211</v>
      </c>
      <c r="H407" s="1">
        <v>0.65</v>
      </c>
      <c r="I407" s="1">
        <v>0.65</v>
      </c>
      <c r="J407" t="s">
        <v>46</v>
      </c>
      <c r="K407" s="1">
        <v>52.419355000000003</v>
      </c>
      <c r="L407" s="1">
        <v>8</v>
      </c>
      <c r="M407" s="1">
        <v>9.92</v>
      </c>
      <c r="N407" s="1">
        <v>32963</v>
      </c>
      <c r="O407" t="s">
        <v>436</v>
      </c>
      <c r="P407" t="s">
        <v>1191</v>
      </c>
      <c r="Q407" t="s">
        <v>1187</v>
      </c>
      <c r="R407" t="s">
        <v>50</v>
      </c>
      <c r="S407" s="1">
        <v>0.32</v>
      </c>
      <c r="T407" s="1">
        <v>9.5725470799999997</v>
      </c>
      <c r="U407" s="1">
        <v>9.2165407300000002</v>
      </c>
      <c r="V407" s="1">
        <v>2.0684874999999998</v>
      </c>
      <c r="W407" s="1">
        <v>0</v>
      </c>
      <c r="X407" t="s">
        <v>50</v>
      </c>
      <c r="Y407" s="1">
        <v>2.5000000000000001E-2</v>
      </c>
      <c r="Z407" t="s">
        <v>50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s="1">
        <v>0.1023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t="s">
        <v>1212</v>
      </c>
      <c r="AQ407" s="1">
        <v>10627</v>
      </c>
      <c r="AR407" t="s">
        <v>51</v>
      </c>
    </row>
    <row r="408" spans="1:44">
      <c r="A408" s="1">
        <v>95188</v>
      </c>
      <c r="B408" s="1">
        <v>32128</v>
      </c>
      <c r="C408" s="1">
        <v>31455</v>
      </c>
      <c r="D408" t="s">
        <v>1213</v>
      </c>
      <c r="E408" t="s">
        <v>63</v>
      </c>
      <c r="F408" t="str">
        <f>VLOOKUP(E408,Tabela2[#All],2,FALSE)</f>
        <v>Válvula Nível 4</v>
      </c>
      <c r="G408" t="s">
        <v>64</v>
      </c>
      <c r="H408" s="1">
        <v>2.048</v>
      </c>
      <c r="I408" s="1">
        <v>2.048</v>
      </c>
      <c r="J408" t="s">
        <v>65</v>
      </c>
      <c r="K408" s="1">
        <v>69.666667000000004</v>
      </c>
      <c r="L408" s="1">
        <v>3.5</v>
      </c>
      <c r="M408" s="1">
        <v>10.5</v>
      </c>
      <c r="N408" s="1">
        <v>36441</v>
      </c>
      <c r="O408" t="s">
        <v>66</v>
      </c>
      <c r="P408" t="s">
        <v>1214</v>
      </c>
      <c r="Q408" t="s">
        <v>68</v>
      </c>
      <c r="R408" s="1">
        <v>1.7000000000000001E-2</v>
      </c>
      <c r="S408" s="1">
        <v>0.32</v>
      </c>
      <c r="T408" s="1">
        <v>24.301351950000001</v>
      </c>
      <c r="U408" s="1">
        <v>23.661307579999999</v>
      </c>
      <c r="V408" s="1">
        <v>0</v>
      </c>
      <c r="W408" s="1">
        <v>0</v>
      </c>
      <c r="X408" t="s">
        <v>50</v>
      </c>
      <c r="Y408" t="s">
        <v>50</v>
      </c>
      <c r="Z408" t="s">
        <v>50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s="1">
        <v>0.14280000000000001</v>
      </c>
      <c r="AH408" s="1">
        <v>0.434</v>
      </c>
      <c r="AI408" s="1">
        <v>5.7500000000000002E-2</v>
      </c>
      <c r="AJ408" t="s">
        <v>50</v>
      </c>
      <c r="AK408" t="s">
        <v>50</v>
      </c>
      <c r="AL408" t="s">
        <v>50</v>
      </c>
      <c r="AM408" t="s">
        <v>50</v>
      </c>
      <c r="AN408" s="1">
        <v>2.1</v>
      </c>
      <c r="AO408" t="s">
        <v>50</v>
      </c>
      <c r="AP408" t="s">
        <v>69</v>
      </c>
      <c r="AQ408" s="1">
        <v>2206</v>
      </c>
      <c r="AR408" t="s">
        <v>70</v>
      </c>
    </row>
    <row r="409" spans="1:44">
      <c r="A409" s="1">
        <v>92528</v>
      </c>
      <c r="B409" s="1">
        <v>32374</v>
      </c>
      <c r="C409" s="1">
        <v>31707</v>
      </c>
      <c r="D409" t="s">
        <v>1215</v>
      </c>
      <c r="E409" t="s">
        <v>1046</v>
      </c>
      <c r="F409" t="str">
        <f>VLOOKUP(E409,Tabela2[#All],2,FALSE)</f>
        <v>Válvula Nível 3</v>
      </c>
      <c r="G409" t="s">
        <v>1047</v>
      </c>
      <c r="H409" s="1">
        <v>2.7</v>
      </c>
      <c r="I409" s="1">
        <v>2.7</v>
      </c>
      <c r="J409" t="s">
        <v>65</v>
      </c>
      <c r="K409" s="1">
        <v>78.260862000000003</v>
      </c>
      <c r="L409" s="1">
        <v>3.3333330000000001</v>
      </c>
      <c r="M409" s="1">
        <v>11.5</v>
      </c>
      <c r="N409" s="1">
        <v>36441</v>
      </c>
      <c r="O409" t="s">
        <v>66</v>
      </c>
      <c r="P409" t="s">
        <v>1214</v>
      </c>
      <c r="Q409" t="s">
        <v>68</v>
      </c>
      <c r="R409" s="1">
        <v>0.28699999999999998</v>
      </c>
      <c r="S409" t="s">
        <v>50</v>
      </c>
      <c r="T409" s="1">
        <v>35.005388629999999</v>
      </c>
      <c r="U409" s="1">
        <v>34.386695590000002</v>
      </c>
      <c r="V409" s="1">
        <v>0</v>
      </c>
      <c r="W409" s="1">
        <v>0</v>
      </c>
      <c r="X409" t="s">
        <v>50</v>
      </c>
      <c r="Y409" t="s">
        <v>50</v>
      </c>
      <c r="Z409" t="s">
        <v>50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s="1">
        <v>0.15625</v>
      </c>
      <c r="AH409" s="1">
        <v>0.4</v>
      </c>
      <c r="AI409" s="1">
        <v>7.6600000000000001E-2</v>
      </c>
      <c r="AJ409" t="s">
        <v>50</v>
      </c>
      <c r="AK409" t="s">
        <v>50</v>
      </c>
      <c r="AL409" t="s">
        <v>50</v>
      </c>
      <c r="AM409" t="s">
        <v>50</v>
      </c>
      <c r="AN409" s="1">
        <v>2.76</v>
      </c>
      <c r="AO409" t="s">
        <v>50</v>
      </c>
      <c r="AP409" t="s">
        <v>1048</v>
      </c>
      <c r="AQ409" s="1">
        <v>1937</v>
      </c>
      <c r="AR409" t="s">
        <v>70</v>
      </c>
    </row>
    <row r="410" spans="1:44">
      <c r="A410" s="1">
        <v>116327</v>
      </c>
      <c r="B410" s="1">
        <v>32374</v>
      </c>
      <c r="C410" s="1">
        <v>31707</v>
      </c>
      <c r="D410" t="s">
        <v>1216</v>
      </c>
      <c r="E410" t="s">
        <v>1046</v>
      </c>
      <c r="F410" t="str">
        <f>VLOOKUP(E410,Tabela2[#All],2,FALSE)</f>
        <v>Válvula Nível 3</v>
      </c>
      <c r="G410" t="s">
        <v>1047</v>
      </c>
      <c r="H410" s="1">
        <v>2.7</v>
      </c>
      <c r="I410" s="1">
        <v>2.7</v>
      </c>
      <c r="J410" t="s">
        <v>65</v>
      </c>
      <c r="K410" s="1">
        <v>78.260862000000003</v>
      </c>
      <c r="L410" s="1">
        <v>3.3333330000000001</v>
      </c>
      <c r="M410" s="1">
        <v>11.5</v>
      </c>
      <c r="N410" s="1">
        <v>36441</v>
      </c>
      <c r="O410" t="s">
        <v>66</v>
      </c>
      <c r="P410" t="s">
        <v>1214</v>
      </c>
      <c r="Q410" t="s">
        <v>68</v>
      </c>
      <c r="R410" s="1">
        <v>0.28699999999999998</v>
      </c>
      <c r="S410" t="s">
        <v>50</v>
      </c>
      <c r="T410" s="1">
        <v>35.005388629999999</v>
      </c>
      <c r="U410" s="1">
        <v>34.386695590000002</v>
      </c>
      <c r="V410" s="1">
        <v>0</v>
      </c>
      <c r="W410" s="1">
        <v>0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s="1">
        <v>0.15625</v>
      </c>
      <c r="AH410" s="1">
        <v>0.4</v>
      </c>
      <c r="AI410" s="1">
        <v>7.6600000000000001E-2</v>
      </c>
      <c r="AJ410" t="s">
        <v>50</v>
      </c>
      <c r="AK410" t="s">
        <v>50</v>
      </c>
      <c r="AL410" t="s">
        <v>50</v>
      </c>
      <c r="AM410" t="s">
        <v>50</v>
      </c>
      <c r="AN410" s="1">
        <v>2.76</v>
      </c>
      <c r="AO410" t="s">
        <v>50</v>
      </c>
      <c r="AP410" t="s">
        <v>1048</v>
      </c>
      <c r="AQ410" s="1">
        <v>1937</v>
      </c>
      <c r="AR410" t="s">
        <v>70</v>
      </c>
    </row>
    <row r="411" spans="1:44">
      <c r="A411" s="1">
        <v>119471</v>
      </c>
      <c r="B411" s="1">
        <v>77061</v>
      </c>
      <c r="C411" s="1">
        <v>69631</v>
      </c>
      <c r="D411" t="s">
        <v>1217</v>
      </c>
      <c r="E411" t="s">
        <v>1218</v>
      </c>
      <c r="F411" t="str">
        <f>VLOOKUP(E411,Tabela2[#All],2,FALSE)</f>
        <v>Válvula Nível 3</v>
      </c>
      <c r="G411" t="s">
        <v>1219</v>
      </c>
      <c r="H411" s="1">
        <v>3.22</v>
      </c>
      <c r="I411" s="1">
        <v>3.22</v>
      </c>
      <c r="J411" t="s">
        <v>65</v>
      </c>
      <c r="K411" s="1">
        <v>68.693332999999996</v>
      </c>
      <c r="L411" s="1">
        <v>3.2</v>
      </c>
      <c r="M411" s="1">
        <v>15</v>
      </c>
      <c r="N411" s="1">
        <v>89565</v>
      </c>
      <c r="O411" t="s">
        <v>195</v>
      </c>
      <c r="P411" t="s">
        <v>1214</v>
      </c>
      <c r="Q411" t="s">
        <v>68</v>
      </c>
      <c r="R411" s="1">
        <v>0.28000000000000003</v>
      </c>
      <c r="S411" t="s">
        <v>50</v>
      </c>
      <c r="T411" s="1">
        <v>40.356949350000001</v>
      </c>
      <c r="U411" s="1">
        <v>39.668706700000001</v>
      </c>
      <c r="V411" s="1">
        <v>0</v>
      </c>
      <c r="W411" s="1">
        <v>0</v>
      </c>
      <c r="X411" t="s">
        <v>50</v>
      </c>
      <c r="Y411" t="s">
        <v>50</v>
      </c>
      <c r="Z411" t="s">
        <v>50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s="1">
        <v>0.25</v>
      </c>
      <c r="AH411" s="1">
        <v>0.56000000000000005</v>
      </c>
      <c r="AI411" s="1">
        <v>0.128</v>
      </c>
      <c r="AJ411" t="s">
        <v>50</v>
      </c>
      <c r="AK411" t="s">
        <v>50</v>
      </c>
      <c r="AL411" t="s">
        <v>50</v>
      </c>
      <c r="AM411" t="s">
        <v>50</v>
      </c>
      <c r="AN411" s="1">
        <v>3</v>
      </c>
      <c r="AO411" t="s">
        <v>50</v>
      </c>
      <c r="AP411" t="s">
        <v>1220</v>
      </c>
      <c r="AQ411" s="1">
        <v>7527</v>
      </c>
      <c r="AR411" t="s">
        <v>70</v>
      </c>
    </row>
    <row r="412" spans="1:44">
      <c r="A412" s="1">
        <v>54349</v>
      </c>
      <c r="B412" s="1">
        <v>54350</v>
      </c>
      <c r="C412" s="1">
        <v>48659</v>
      </c>
      <c r="D412" t="s">
        <v>1221</v>
      </c>
      <c r="E412" t="s">
        <v>1222</v>
      </c>
      <c r="F412" t="str">
        <f>VLOOKUP(E412,Tabela2[#All],2,FALSE)</f>
        <v>Válvula Nível 4</v>
      </c>
      <c r="G412" t="s">
        <v>1223</v>
      </c>
      <c r="H412" s="1">
        <v>4.085</v>
      </c>
      <c r="I412" s="1">
        <v>4.085</v>
      </c>
      <c r="J412" t="s">
        <v>65</v>
      </c>
      <c r="K412" s="1">
        <v>79.167630000000003</v>
      </c>
      <c r="L412" s="1">
        <v>3.2</v>
      </c>
      <c r="M412" s="1">
        <v>17.3</v>
      </c>
      <c r="N412" s="1">
        <v>36446</v>
      </c>
      <c r="O412" t="s">
        <v>119</v>
      </c>
      <c r="P412" t="s">
        <v>117</v>
      </c>
      <c r="Q412" t="s">
        <v>68</v>
      </c>
      <c r="R412" t="s">
        <v>50</v>
      </c>
      <c r="S412" s="1">
        <v>0.2</v>
      </c>
      <c r="T412" s="1">
        <v>37.07544566</v>
      </c>
      <c r="U412" s="1">
        <v>37.07544566</v>
      </c>
      <c r="V412" s="1">
        <v>0</v>
      </c>
      <c r="W412" s="1">
        <v>0</v>
      </c>
      <c r="X412" t="s">
        <v>50</v>
      </c>
      <c r="Y412" t="s">
        <v>50</v>
      </c>
      <c r="Z412" t="s">
        <v>50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s="1">
        <v>0.16666600000000001</v>
      </c>
      <c r="AH412" s="1">
        <v>0.63819999999999999</v>
      </c>
      <c r="AI412" t="s">
        <v>50</v>
      </c>
      <c r="AJ412" t="s">
        <v>50</v>
      </c>
      <c r="AK412" t="s">
        <v>50</v>
      </c>
      <c r="AL412" t="s">
        <v>50</v>
      </c>
      <c r="AM412" t="s">
        <v>50</v>
      </c>
      <c r="AN412" s="1">
        <v>3.6</v>
      </c>
      <c r="AO412" t="s">
        <v>50</v>
      </c>
      <c r="AP412" t="s">
        <v>1224</v>
      </c>
      <c r="AQ412" s="1">
        <v>3570</v>
      </c>
      <c r="AR412" t="s">
        <v>70</v>
      </c>
    </row>
    <row r="413" spans="1:44">
      <c r="A413" s="1">
        <v>50106</v>
      </c>
      <c r="B413" s="1">
        <v>50107</v>
      </c>
      <c r="C413" s="1">
        <v>44825</v>
      </c>
      <c r="D413" t="s">
        <v>1225</v>
      </c>
      <c r="E413" t="s">
        <v>1226</v>
      </c>
      <c r="F413" t="str">
        <f>VLOOKUP(E413,Tabela2[#All],2,FALSE)</f>
        <v>Válvula Nível 3</v>
      </c>
      <c r="G413" t="s">
        <v>1227</v>
      </c>
      <c r="H413" s="1">
        <v>3.93</v>
      </c>
      <c r="I413" s="1">
        <v>3.93</v>
      </c>
      <c r="J413" t="s">
        <v>65</v>
      </c>
      <c r="K413" s="1">
        <v>76.144577999999996</v>
      </c>
      <c r="L413" s="1">
        <v>3.2</v>
      </c>
      <c r="M413" s="1">
        <v>16.600000000000001</v>
      </c>
      <c r="N413" s="1">
        <v>36446</v>
      </c>
      <c r="O413" t="s">
        <v>119</v>
      </c>
      <c r="P413" t="s">
        <v>117</v>
      </c>
      <c r="Q413" t="s">
        <v>68</v>
      </c>
      <c r="R413" s="1">
        <v>0.2</v>
      </c>
      <c r="S413" t="s">
        <v>50</v>
      </c>
      <c r="T413" s="1">
        <v>42.340349549999999</v>
      </c>
      <c r="U413" s="1">
        <v>42.340349549999999</v>
      </c>
      <c r="V413" s="1">
        <v>0</v>
      </c>
      <c r="W413" s="1">
        <v>0</v>
      </c>
      <c r="X413" t="s">
        <v>50</v>
      </c>
      <c r="Y413" t="s">
        <v>50</v>
      </c>
      <c r="Z413" t="s">
        <v>50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s="1">
        <v>0.25</v>
      </c>
      <c r="AH413" s="1">
        <v>0.76100000000000001</v>
      </c>
      <c r="AI413" t="s">
        <v>50</v>
      </c>
      <c r="AJ413" t="s">
        <v>50</v>
      </c>
      <c r="AK413" t="s">
        <v>50</v>
      </c>
      <c r="AL413" t="s">
        <v>50</v>
      </c>
      <c r="AM413" t="s">
        <v>50</v>
      </c>
      <c r="AN413" s="1">
        <v>3</v>
      </c>
      <c r="AO413" t="s">
        <v>50</v>
      </c>
      <c r="AP413" t="s">
        <v>1228</v>
      </c>
      <c r="AQ413" s="1">
        <v>2735</v>
      </c>
      <c r="AR413" t="s">
        <v>70</v>
      </c>
    </row>
    <row r="414" spans="1:44">
      <c r="A414" s="1">
        <v>50278</v>
      </c>
      <c r="B414" s="1">
        <v>50281</v>
      </c>
      <c r="C414" s="1">
        <v>44984</v>
      </c>
      <c r="D414" t="s">
        <v>1229</v>
      </c>
      <c r="E414" t="s">
        <v>1230</v>
      </c>
      <c r="F414" t="str">
        <f>VLOOKUP(E414,Tabela2[#All],2,FALSE)</f>
        <v>Válvula Nível 4</v>
      </c>
      <c r="G414" t="s">
        <v>1231</v>
      </c>
      <c r="H414" s="1">
        <v>3.5619999999999998</v>
      </c>
      <c r="I414" s="1">
        <v>3.5619999999999998</v>
      </c>
      <c r="J414" t="s">
        <v>65</v>
      </c>
      <c r="K414" s="1">
        <v>73.066666999999995</v>
      </c>
      <c r="L414" s="1">
        <v>3.2</v>
      </c>
      <c r="M414" s="1">
        <v>15.6</v>
      </c>
      <c r="N414" s="1">
        <v>36446</v>
      </c>
      <c r="O414" t="s">
        <v>119</v>
      </c>
      <c r="P414" t="s">
        <v>117</v>
      </c>
      <c r="Q414" t="s">
        <v>68</v>
      </c>
      <c r="R414" t="s">
        <v>50</v>
      </c>
      <c r="S414" s="1">
        <v>0.33</v>
      </c>
      <c r="T414" s="1">
        <v>35.423322259999999</v>
      </c>
      <c r="U414" s="1">
        <v>35.399678659999999</v>
      </c>
      <c r="V414" s="1">
        <v>0</v>
      </c>
      <c r="W414" s="1">
        <v>0</v>
      </c>
      <c r="X414" t="s">
        <v>50</v>
      </c>
      <c r="Y414" t="s">
        <v>50</v>
      </c>
      <c r="Z414" t="s">
        <v>50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s="1">
        <v>0.15</v>
      </c>
      <c r="AH414" s="1">
        <v>0.7</v>
      </c>
      <c r="AI414" t="s">
        <v>50</v>
      </c>
      <c r="AJ414" t="s">
        <v>50</v>
      </c>
      <c r="AK414" t="s">
        <v>50</v>
      </c>
      <c r="AL414" t="s">
        <v>50</v>
      </c>
      <c r="AM414" t="s">
        <v>50</v>
      </c>
      <c r="AN414" s="1">
        <v>3</v>
      </c>
      <c r="AO414" t="s">
        <v>50</v>
      </c>
      <c r="AP414" t="s">
        <v>1232</v>
      </c>
      <c r="AQ414" s="1">
        <v>2748</v>
      </c>
      <c r="AR414" t="s">
        <v>70</v>
      </c>
    </row>
    <row r="415" spans="1:44">
      <c r="A415" s="1">
        <v>49882</v>
      </c>
      <c r="B415" s="1">
        <v>49883</v>
      </c>
      <c r="C415" s="1">
        <v>44623</v>
      </c>
      <c r="D415" t="s">
        <v>1233</v>
      </c>
      <c r="E415" t="s">
        <v>1234</v>
      </c>
      <c r="F415" t="str">
        <f>VLOOKUP(E415,Tabela2[#All],2,FALSE)</f>
        <v>Válvula Nível 3</v>
      </c>
      <c r="G415" t="s">
        <v>1235</v>
      </c>
      <c r="H415" s="1">
        <v>2.91</v>
      </c>
      <c r="I415" s="1">
        <v>2.91</v>
      </c>
      <c r="J415" t="s">
        <v>65</v>
      </c>
      <c r="K415" s="1">
        <v>74.001109999999997</v>
      </c>
      <c r="L415" s="1">
        <v>3.3332999999999999</v>
      </c>
      <c r="M415" s="1">
        <v>13.333</v>
      </c>
      <c r="N415" s="1">
        <v>36446</v>
      </c>
      <c r="O415" t="s">
        <v>119</v>
      </c>
      <c r="P415" t="s">
        <v>117</v>
      </c>
      <c r="Q415" t="s">
        <v>68</v>
      </c>
      <c r="R415" s="1">
        <v>0.23</v>
      </c>
      <c r="S415" t="s">
        <v>50</v>
      </c>
      <c r="T415" s="1">
        <v>42.145320929999997</v>
      </c>
      <c r="U415" s="1">
        <v>42.145320929999997</v>
      </c>
      <c r="V415" s="1">
        <v>0</v>
      </c>
      <c r="W415" s="1">
        <v>0</v>
      </c>
      <c r="X415" t="s">
        <v>50</v>
      </c>
      <c r="Y415" t="s">
        <v>50</v>
      </c>
      <c r="Z415" t="s">
        <v>50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s="1">
        <v>0.17849999999999999</v>
      </c>
      <c r="AH415" s="1">
        <v>0.76100000000000001</v>
      </c>
      <c r="AI415" s="1">
        <v>3.3399999999999999E-2</v>
      </c>
      <c r="AJ415" t="s">
        <v>50</v>
      </c>
      <c r="AK415" t="s">
        <v>50</v>
      </c>
      <c r="AL415" t="s">
        <v>50</v>
      </c>
      <c r="AM415" t="s">
        <v>50</v>
      </c>
      <c r="AN415" s="1">
        <v>4.26</v>
      </c>
      <c r="AO415" t="s">
        <v>50</v>
      </c>
      <c r="AP415" t="s">
        <v>1236</v>
      </c>
      <c r="AQ415" s="1">
        <v>2709</v>
      </c>
      <c r="AR415" t="s">
        <v>70</v>
      </c>
    </row>
    <row r="416" spans="1:44">
      <c r="A416" s="1">
        <v>45160</v>
      </c>
      <c r="B416" s="1">
        <v>45161</v>
      </c>
      <c r="C416" s="1">
        <v>40167</v>
      </c>
      <c r="D416" t="s">
        <v>1237</v>
      </c>
      <c r="E416" t="s">
        <v>1238</v>
      </c>
      <c r="F416" t="str">
        <f>VLOOKUP(E416,Tabela2[#All],2,FALSE)</f>
        <v>Válvula Nível 3</v>
      </c>
      <c r="G416" t="s">
        <v>1239</v>
      </c>
      <c r="H416" s="1">
        <v>2.98</v>
      </c>
      <c r="I416" s="1">
        <v>2.98</v>
      </c>
      <c r="J416" t="s">
        <v>65</v>
      </c>
      <c r="K416" t="s">
        <v>50</v>
      </c>
      <c r="L416" s="1">
        <v>3.3333300000000001</v>
      </c>
      <c r="M416" s="1">
        <v>13.33</v>
      </c>
      <c r="N416" s="1">
        <v>36446</v>
      </c>
      <c r="O416" t="s">
        <v>119</v>
      </c>
      <c r="P416" t="s">
        <v>117</v>
      </c>
      <c r="Q416" t="s">
        <v>68</v>
      </c>
      <c r="R416" s="1">
        <v>0.20399999999999999</v>
      </c>
      <c r="S416" t="s">
        <v>50</v>
      </c>
      <c r="T416" s="1">
        <v>42.355567530000002</v>
      </c>
      <c r="U416" s="1">
        <v>42.355567530000002</v>
      </c>
      <c r="V416" s="1">
        <v>0</v>
      </c>
      <c r="W416" s="1">
        <v>0</v>
      </c>
      <c r="X416" t="s">
        <v>50</v>
      </c>
      <c r="Y416" t="s">
        <v>50</v>
      </c>
      <c r="Z416" t="s">
        <v>50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s="1">
        <v>0.17849999999999999</v>
      </c>
      <c r="AH416" s="1">
        <v>0.76100000000000001</v>
      </c>
      <c r="AI416" s="1">
        <v>7.1800000000000003E-2</v>
      </c>
      <c r="AJ416" t="s">
        <v>50</v>
      </c>
      <c r="AK416" t="s">
        <v>50</v>
      </c>
      <c r="AL416" t="s">
        <v>50</v>
      </c>
      <c r="AM416" t="s">
        <v>50</v>
      </c>
      <c r="AN416" s="1">
        <v>4.26</v>
      </c>
      <c r="AO416" t="s">
        <v>50</v>
      </c>
      <c r="AP416" t="s">
        <v>1240</v>
      </c>
      <c r="AQ416" s="1">
        <v>5269</v>
      </c>
      <c r="AR416" t="s">
        <v>70</v>
      </c>
    </row>
    <row r="417" spans="1:44">
      <c r="A417" s="1">
        <v>116509</v>
      </c>
      <c r="B417" s="1">
        <v>116508</v>
      </c>
      <c r="C417" s="1">
        <v>98910</v>
      </c>
      <c r="D417" t="s">
        <v>1242</v>
      </c>
      <c r="E417" t="s">
        <v>1243</v>
      </c>
      <c r="F417" t="str">
        <f>VLOOKUP(E417,Tabela2[#All],2,FALSE)</f>
        <v>PINO CONCHA</v>
      </c>
      <c r="G417" t="s">
        <v>1245</v>
      </c>
      <c r="H417" s="1">
        <v>3.45</v>
      </c>
      <c r="I417" s="1">
        <v>3.45</v>
      </c>
      <c r="J417" t="s">
        <v>46</v>
      </c>
      <c r="K417" s="1">
        <v>56.672874</v>
      </c>
      <c r="L417" s="1">
        <v>2</v>
      </c>
      <c r="M417" s="1">
        <v>16.11</v>
      </c>
      <c r="N417" s="1">
        <v>32900</v>
      </c>
      <c r="O417" t="s">
        <v>47</v>
      </c>
      <c r="P417" t="s">
        <v>1244</v>
      </c>
      <c r="Q417" t="s">
        <v>49</v>
      </c>
      <c r="R417" t="s">
        <v>50</v>
      </c>
      <c r="S417" t="s">
        <v>50</v>
      </c>
      <c r="T417" s="1">
        <v>47.291237930000001</v>
      </c>
      <c r="U417" s="1">
        <v>27.42689687</v>
      </c>
      <c r="V417" s="1">
        <v>12.388199999999999</v>
      </c>
      <c r="W417" s="1">
        <v>4.0880429999999999</v>
      </c>
      <c r="X417" s="1">
        <v>1</v>
      </c>
      <c r="Y417" s="1">
        <v>0.2</v>
      </c>
      <c r="Z417" s="1">
        <v>0.5</v>
      </c>
      <c r="AA417" s="1">
        <v>3.4222000000000001</v>
      </c>
      <c r="AB417" t="s">
        <v>50</v>
      </c>
      <c r="AC417" s="1">
        <v>1.0908</v>
      </c>
      <c r="AD417" t="s">
        <v>50</v>
      </c>
      <c r="AE417" t="s">
        <v>50</v>
      </c>
      <c r="AF417" s="1">
        <v>0.35010000000000002</v>
      </c>
      <c r="AG417" t="s">
        <v>50</v>
      </c>
      <c r="AH417" t="s">
        <v>50</v>
      </c>
      <c r="AI417" t="s">
        <v>50</v>
      </c>
      <c r="AJ417" t="s">
        <v>50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t="s">
        <v>1246</v>
      </c>
      <c r="AQ417" s="1">
        <v>13087</v>
      </c>
      <c r="AR417" t="s">
        <v>51</v>
      </c>
    </row>
    <row r="418" spans="1:44">
      <c r="A418" s="1">
        <v>116509</v>
      </c>
      <c r="B418" s="1">
        <v>116508</v>
      </c>
      <c r="C418" s="1">
        <v>98910</v>
      </c>
      <c r="D418" t="s">
        <v>1242</v>
      </c>
      <c r="E418" t="s">
        <v>1243</v>
      </c>
      <c r="F418" t="str">
        <f>VLOOKUP(E418,Tabela2[#All],2,FALSE)</f>
        <v>PINO CONCHA</v>
      </c>
      <c r="G418" t="s">
        <v>1245</v>
      </c>
      <c r="H418" s="1">
        <v>3.45</v>
      </c>
      <c r="I418" s="1">
        <v>3.45</v>
      </c>
      <c r="J418" t="s">
        <v>46</v>
      </c>
      <c r="K418" s="1">
        <v>56.672874</v>
      </c>
      <c r="L418" s="1">
        <v>2</v>
      </c>
      <c r="M418" s="1">
        <v>16.11</v>
      </c>
      <c r="N418" s="1">
        <v>32900</v>
      </c>
      <c r="O418" t="s">
        <v>47</v>
      </c>
      <c r="P418" t="s">
        <v>1247</v>
      </c>
      <c r="Q418" t="s">
        <v>49</v>
      </c>
      <c r="R418" t="s">
        <v>50</v>
      </c>
      <c r="S418" t="s">
        <v>50</v>
      </c>
      <c r="T418" s="1">
        <v>47.291237930000001</v>
      </c>
      <c r="U418" s="1">
        <v>27.42689687</v>
      </c>
      <c r="V418" s="1">
        <v>12.388199999999999</v>
      </c>
      <c r="W418" s="1">
        <v>4.0880429999999999</v>
      </c>
      <c r="X418" s="1">
        <v>1</v>
      </c>
      <c r="Y418" s="1">
        <v>0.2</v>
      </c>
      <c r="Z418" s="1">
        <v>0.5</v>
      </c>
      <c r="AA418" s="1">
        <v>3.4222000000000001</v>
      </c>
      <c r="AB418" t="s">
        <v>50</v>
      </c>
      <c r="AC418" s="1">
        <v>1.0908</v>
      </c>
      <c r="AD418" t="s">
        <v>50</v>
      </c>
      <c r="AE418" t="s">
        <v>50</v>
      </c>
      <c r="AF418" s="1">
        <v>0.35010000000000002</v>
      </c>
      <c r="AG418" t="s">
        <v>50</v>
      </c>
      <c r="AH418" t="s">
        <v>50</v>
      </c>
      <c r="AI418" t="s">
        <v>50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t="s">
        <v>1246</v>
      </c>
      <c r="AQ418" s="1">
        <v>13087</v>
      </c>
      <c r="AR418" t="s">
        <v>51</v>
      </c>
    </row>
    <row r="419" spans="1:44">
      <c r="A419" s="1">
        <v>66934</v>
      </c>
      <c r="B419" s="1">
        <v>66937</v>
      </c>
      <c r="C419" s="1">
        <v>60858</v>
      </c>
      <c r="D419" t="s">
        <v>1248</v>
      </c>
      <c r="E419" t="s">
        <v>1249</v>
      </c>
      <c r="F419" t="str">
        <f>VLOOKUP(E419,Tabela2[#All],2,FALSE)</f>
        <v>PINO CONCHA</v>
      </c>
      <c r="G419" t="s">
        <v>1250</v>
      </c>
      <c r="H419" s="1">
        <v>6.32</v>
      </c>
      <c r="I419" s="1">
        <v>6.32</v>
      </c>
      <c r="J419" t="s">
        <v>46</v>
      </c>
      <c r="K419" s="1">
        <v>54.812834000000002</v>
      </c>
      <c r="L419" s="1">
        <v>1</v>
      </c>
      <c r="M419" s="1">
        <v>11.22</v>
      </c>
      <c r="N419" s="1">
        <v>32958</v>
      </c>
      <c r="O419" t="s">
        <v>81</v>
      </c>
      <c r="P419" t="s">
        <v>1244</v>
      </c>
      <c r="Q419" t="s">
        <v>49</v>
      </c>
      <c r="R419" t="s">
        <v>50</v>
      </c>
      <c r="S419" t="s">
        <v>50</v>
      </c>
      <c r="T419" s="1">
        <v>63.819283120000001</v>
      </c>
      <c r="U419" s="1">
        <v>43.34430433</v>
      </c>
      <c r="V419" s="1">
        <v>0</v>
      </c>
      <c r="W419" s="1">
        <v>7.4888208000000001</v>
      </c>
      <c r="X419" t="s">
        <v>50</v>
      </c>
      <c r="Y419" s="1">
        <v>0.41749999999999998</v>
      </c>
      <c r="Z419" s="1">
        <v>1.2669999999999999</v>
      </c>
      <c r="AA419" t="s">
        <v>50</v>
      </c>
      <c r="AB419" t="s">
        <v>50</v>
      </c>
      <c r="AC419" s="1">
        <v>1.6</v>
      </c>
      <c r="AD419" t="s">
        <v>50</v>
      </c>
      <c r="AE419" t="s">
        <v>50</v>
      </c>
      <c r="AF419" s="1">
        <v>0.75</v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t="s">
        <v>1249</v>
      </c>
      <c r="AQ419" s="1">
        <v>5608</v>
      </c>
      <c r="AR419" t="s">
        <v>51</v>
      </c>
    </row>
    <row r="420" spans="1:44">
      <c r="A420" s="1">
        <v>66934</v>
      </c>
      <c r="B420" s="1">
        <v>66937</v>
      </c>
      <c r="C420" s="1">
        <v>60858</v>
      </c>
      <c r="D420" t="s">
        <v>1248</v>
      </c>
      <c r="E420" t="s">
        <v>1249</v>
      </c>
      <c r="F420" t="str">
        <f>VLOOKUP(E420,Tabela2[#All],2,FALSE)</f>
        <v>PINO CONCHA</v>
      </c>
      <c r="G420" t="s">
        <v>1250</v>
      </c>
      <c r="H420" s="1">
        <v>6.32</v>
      </c>
      <c r="I420" s="1">
        <v>6.32</v>
      </c>
      <c r="J420" t="s">
        <v>46</v>
      </c>
      <c r="K420" s="1">
        <v>54.812834000000002</v>
      </c>
      <c r="L420" s="1">
        <v>1</v>
      </c>
      <c r="M420" s="1">
        <v>11.22</v>
      </c>
      <c r="N420" s="1">
        <v>32958</v>
      </c>
      <c r="O420" t="s">
        <v>81</v>
      </c>
      <c r="P420" t="s">
        <v>1247</v>
      </c>
      <c r="Q420" t="s">
        <v>49</v>
      </c>
      <c r="R420" t="s">
        <v>50</v>
      </c>
      <c r="S420" t="s">
        <v>50</v>
      </c>
      <c r="T420" s="1">
        <v>63.819283120000001</v>
      </c>
      <c r="U420" s="1">
        <v>43.34430433</v>
      </c>
      <c r="V420" s="1">
        <v>0</v>
      </c>
      <c r="W420" s="1">
        <v>7.4888208000000001</v>
      </c>
      <c r="X420" t="s">
        <v>50</v>
      </c>
      <c r="Y420" s="1">
        <v>0.41749999999999998</v>
      </c>
      <c r="Z420" s="1">
        <v>1.2669999999999999</v>
      </c>
      <c r="AA420" t="s">
        <v>50</v>
      </c>
      <c r="AB420" t="s">
        <v>50</v>
      </c>
      <c r="AC420" s="1">
        <v>1.6</v>
      </c>
      <c r="AD420" t="s">
        <v>50</v>
      </c>
      <c r="AE420" t="s">
        <v>50</v>
      </c>
      <c r="AF420" s="1">
        <v>0.75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t="s">
        <v>1249</v>
      </c>
      <c r="AQ420" s="1">
        <v>5608</v>
      </c>
      <c r="AR420" t="s">
        <v>51</v>
      </c>
    </row>
    <row r="421" spans="1:44">
      <c r="A421" s="1">
        <v>120413</v>
      </c>
      <c r="B421" s="1">
        <v>67419</v>
      </c>
      <c r="C421" s="1">
        <v>61290</v>
      </c>
      <c r="D421" t="s">
        <v>1251</v>
      </c>
      <c r="E421" t="s">
        <v>1252</v>
      </c>
      <c r="F421" t="str">
        <f>VLOOKUP(E421,Tabela2[#All],2,FALSE)</f>
        <v>GANSO</v>
      </c>
      <c r="G421" t="s">
        <v>1253</v>
      </c>
      <c r="H421" s="1">
        <v>2.6</v>
      </c>
      <c r="I421" s="1">
        <v>2.6</v>
      </c>
      <c r="J421" t="s">
        <v>46</v>
      </c>
      <c r="K421" s="1">
        <v>56.5</v>
      </c>
      <c r="L421" s="1">
        <v>3</v>
      </c>
      <c r="M421" s="1">
        <v>16.2</v>
      </c>
      <c r="N421" s="1">
        <v>32958</v>
      </c>
      <c r="O421" t="s">
        <v>81</v>
      </c>
      <c r="P421" t="s">
        <v>1244</v>
      </c>
      <c r="Q421" t="s">
        <v>49</v>
      </c>
      <c r="R421" t="s">
        <v>50</v>
      </c>
      <c r="S421" t="s">
        <v>50</v>
      </c>
      <c r="T421" s="1">
        <v>37.24001097</v>
      </c>
      <c r="U421" s="1">
        <v>20.401142069999999</v>
      </c>
      <c r="V421" s="1">
        <v>0</v>
      </c>
      <c r="W421" s="1">
        <v>3.0808439999999999</v>
      </c>
      <c r="X421" t="s">
        <v>50</v>
      </c>
      <c r="Y421" s="1">
        <v>0.1749</v>
      </c>
      <c r="Z421" s="1">
        <v>0.54220000000000002</v>
      </c>
      <c r="AA421" s="1">
        <v>1.431818</v>
      </c>
      <c r="AB421" t="s">
        <v>50</v>
      </c>
      <c r="AC421" s="1">
        <v>0.44440000000000002</v>
      </c>
      <c r="AD421" t="s">
        <v>50</v>
      </c>
      <c r="AE421" t="s">
        <v>50</v>
      </c>
      <c r="AF421" s="1">
        <v>0.23330999999999999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t="s">
        <v>1254</v>
      </c>
      <c r="AQ421" s="1">
        <v>5947</v>
      </c>
      <c r="AR421" t="s">
        <v>51</v>
      </c>
    </row>
    <row r="422" spans="1:44">
      <c r="A422" s="1">
        <v>120440</v>
      </c>
      <c r="B422" s="1">
        <v>66926</v>
      </c>
      <c r="C422" s="1">
        <v>60853</v>
      </c>
      <c r="D422" t="s">
        <v>1255</v>
      </c>
      <c r="E422" t="s">
        <v>1256</v>
      </c>
      <c r="F422" t="str">
        <f>VLOOKUP(E422,Tabela2[#All],2,FALSE)</f>
        <v>REVOLVER</v>
      </c>
      <c r="G422" t="s">
        <v>1257</v>
      </c>
      <c r="H422" s="1">
        <v>3.11</v>
      </c>
      <c r="I422" s="1">
        <v>3.11</v>
      </c>
      <c r="J422" t="s">
        <v>46</v>
      </c>
      <c r="K422" s="1">
        <v>60.524611</v>
      </c>
      <c r="L422" s="1">
        <v>3</v>
      </c>
      <c r="M422" s="1">
        <v>15.44</v>
      </c>
      <c r="N422" s="1">
        <v>32958</v>
      </c>
      <c r="O422" t="s">
        <v>81</v>
      </c>
      <c r="P422" t="s">
        <v>1244</v>
      </c>
      <c r="Q422" t="s">
        <v>49</v>
      </c>
      <c r="R422" t="s">
        <v>50</v>
      </c>
      <c r="S422" t="s">
        <v>50</v>
      </c>
      <c r="T422" s="1">
        <v>33.631997329999997</v>
      </c>
      <c r="U422" s="1">
        <v>18.853917150000001</v>
      </c>
      <c r="V422" s="1">
        <v>0</v>
      </c>
      <c r="W422" s="1">
        <v>3.6851634</v>
      </c>
      <c r="X422" t="s">
        <v>50</v>
      </c>
      <c r="Y422" s="1">
        <v>0.16800000000000001</v>
      </c>
      <c r="Z422" t="s">
        <v>50</v>
      </c>
      <c r="AA422" s="1">
        <v>1.4258999999999999</v>
      </c>
      <c r="AB422" t="s">
        <v>50</v>
      </c>
      <c r="AC422" s="1">
        <v>0.48480000000000001</v>
      </c>
      <c r="AD422" t="s">
        <v>50</v>
      </c>
      <c r="AE422" t="s">
        <v>50</v>
      </c>
      <c r="AF422" s="1">
        <v>0.24998999999999999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1258</v>
      </c>
      <c r="AQ422" s="1">
        <v>5607</v>
      </c>
      <c r="AR422" t="s">
        <v>51</v>
      </c>
    </row>
    <row r="423" spans="1:44">
      <c r="A423" s="1">
        <v>107657</v>
      </c>
      <c r="B423" s="1">
        <v>107659</v>
      </c>
      <c r="C423" s="1">
        <v>90354</v>
      </c>
      <c r="D423" t="s">
        <v>1259</v>
      </c>
      <c r="E423" t="s">
        <v>1260</v>
      </c>
      <c r="F423" t="str">
        <f>VLOOKUP(E423,Tabela2[#All],2,FALSE)</f>
        <v>EMBOLO</v>
      </c>
      <c r="G423" t="s">
        <v>1261</v>
      </c>
      <c r="H423" s="1">
        <v>0.36</v>
      </c>
      <c r="I423" s="1">
        <v>0.36</v>
      </c>
      <c r="J423" t="s">
        <v>46</v>
      </c>
      <c r="K423" s="1">
        <v>59.118409999999997</v>
      </c>
      <c r="L423" s="1">
        <v>18</v>
      </c>
      <c r="M423" s="1">
        <v>11.57</v>
      </c>
      <c r="N423" s="1">
        <v>33009</v>
      </c>
      <c r="O423" t="s">
        <v>74</v>
      </c>
      <c r="P423" t="s">
        <v>1262</v>
      </c>
      <c r="Q423" t="s">
        <v>350</v>
      </c>
      <c r="R423" t="s">
        <v>50</v>
      </c>
      <c r="S423" t="s">
        <v>50</v>
      </c>
      <c r="T423" s="1">
        <v>2.9572083999999998</v>
      </c>
      <c r="U423" s="1">
        <v>2.7164494100000001</v>
      </c>
      <c r="V423" s="1">
        <v>1.0211166666666667</v>
      </c>
      <c r="W423" s="1">
        <v>0</v>
      </c>
      <c r="X423" t="s">
        <v>50</v>
      </c>
      <c r="Y423" s="1">
        <v>1.7999999999999999E-2</v>
      </c>
      <c r="Z423" t="s">
        <v>50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s="1">
        <v>4.3499999999999997E-2</v>
      </c>
      <c r="AG423" t="s">
        <v>50</v>
      </c>
      <c r="AH423" t="s">
        <v>50</v>
      </c>
      <c r="AI423" t="s">
        <v>50</v>
      </c>
      <c r="AJ423" t="s">
        <v>50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t="s">
        <v>1263</v>
      </c>
      <c r="AQ423" s="1">
        <v>10827</v>
      </c>
      <c r="AR423" t="s">
        <v>51</v>
      </c>
    </row>
    <row r="424" spans="1:44">
      <c r="A424" s="1">
        <v>107667</v>
      </c>
      <c r="B424" s="1">
        <v>107669</v>
      </c>
      <c r="C424" s="1">
        <v>90365</v>
      </c>
      <c r="D424" t="s">
        <v>1264</v>
      </c>
      <c r="E424" t="s">
        <v>1265</v>
      </c>
      <c r="F424" t="str">
        <f>VLOOKUP(E424,Tabela2[#All],2,FALSE)</f>
        <v xml:space="preserve">BASE </v>
      </c>
      <c r="G424" t="s">
        <v>1266</v>
      </c>
      <c r="H424" s="1">
        <v>1.8009999999999999</v>
      </c>
      <c r="I424" s="1">
        <v>1.8009999999999999</v>
      </c>
      <c r="J424" t="s">
        <v>46</v>
      </c>
      <c r="K424" s="1">
        <v>46.805819</v>
      </c>
      <c r="L424" s="1">
        <v>4</v>
      </c>
      <c r="M424" s="1">
        <v>15.81</v>
      </c>
      <c r="N424" s="1">
        <v>32958</v>
      </c>
      <c r="O424" t="s">
        <v>81</v>
      </c>
      <c r="P424" t="s">
        <v>1262</v>
      </c>
      <c r="Q424" t="s">
        <v>350</v>
      </c>
      <c r="R424" t="s">
        <v>50</v>
      </c>
      <c r="S424" t="s">
        <v>50</v>
      </c>
      <c r="T424" s="1">
        <v>13.606764950000001</v>
      </c>
      <c r="U424" s="1">
        <v>12.92792092</v>
      </c>
      <c r="V424" s="1">
        <v>5.5029750000000002</v>
      </c>
      <c r="W424" s="1">
        <v>0</v>
      </c>
      <c r="X424" t="s">
        <v>50</v>
      </c>
      <c r="Y424" s="1">
        <v>0.05</v>
      </c>
      <c r="Z424" t="s">
        <v>50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s="1">
        <v>0.2046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1267</v>
      </c>
      <c r="AQ424" s="1">
        <v>10847</v>
      </c>
      <c r="AR424" t="s">
        <v>51</v>
      </c>
    </row>
    <row r="425" spans="1:44">
      <c r="A425" s="1">
        <v>51198</v>
      </c>
      <c r="B425" s="1">
        <v>32388</v>
      </c>
      <c r="C425" s="1">
        <v>31721</v>
      </c>
      <c r="D425" t="s">
        <v>1268</v>
      </c>
      <c r="E425" t="s">
        <v>1151</v>
      </c>
      <c r="F425" t="str">
        <f>VLOOKUP(E425,Tabela2[#All],2,FALSE)</f>
        <v>Válvula Nível 3</v>
      </c>
      <c r="G425" t="s">
        <v>1152</v>
      </c>
      <c r="H425" s="1">
        <v>2.4700000000000002</v>
      </c>
      <c r="I425" s="1">
        <v>2.4700000000000002</v>
      </c>
      <c r="J425" t="s">
        <v>65</v>
      </c>
      <c r="K425" s="1">
        <v>72</v>
      </c>
      <c r="L425" s="1">
        <v>3.2</v>
      </c>
      <c r="M425" s="1">
        <v>16.399999999999999</v>
      </c>
      <c r="N425" s="1">
        <v>36446</v>
      </c>
      <c r="O425" t="s">
        <v>119</v>
      </c>
      <c r="P425" t="s">
        <v>67</v>
      </c>
      <c r="Q425" t="s">
        <v>68</v>
      </c>
      <c r="R425" s="1">
        <v>0.22</v>
      </c>
      <c r="S425" t="s">
        <v>50</v>
      </c>
      <c r="T425" s="1">
        <v>116.02694823</v>
      </c>
      <c r="U425" s="1">
        <v>44.951174229999999</v>
      </c>
      <c r="V425" s="1">
        <v>0</v>
      </c>
      <c r="W425" s="1">
        <v>0</v>
      </c>
      <c r="X425" t="s">
        <v>50</v>
      </c>
      <c r="Y425" t="s">
        <v>50</v>
      </c>
      <c r="Z425" t="s">
        <v>50</v>
      </c>
      <c r="AA425" t="s">
        <v>50</v>
      </c>
      <c r="AB425" s="1">
        <v>19.065999999999999</v>
      </c>
      <c r="AC425" t="s">
        <v>50</v>
      </c>
      <c r="AD425" t="s">
        <v>50</v>
      </c>
      <c r="AE425" t="s">
        <v>50</v>
      </c>
      <c r="AF425" t="s">
        <v>50</v>
      </c>
      <c r="AG425" s="1">
        <v>0.3</v>
      </c>
      <c r="AH425" s="1">
        <v>0.83819999999999995</v>
      </c>
      <c r="AI425" s="1">
        <v>0.1095</v>
      </c>
      <c r="AJ425" t="s">
        <v>50</v>
      </c>
      <c r="AK425" t="s">
        <v>50</v>
      </c>
      <c r="AL425" t="s">
        <v>50</v>
      </c>
      <c r="AM425" t="s">
        <v>50</v>
      </c>
      <c r="AN425" s="1">
        <v>3</v>
      </c>
      <c r="AO425" t="s">
        <v>50</v>
      </c>
      <c r="AP425" t="s">
        <v>1153</v>
      </c>
      <c r="AQ425" s="1">
        <v>3285</v>
      </c>
      <c r="AR425" t="s">
        <v>70</v>
      </c>
    </row>
    <row r="426" spans="1:44">
      <c r="A426" s="1">
        <v>50711</v>
      </c>
      <c r="B426" s="1">
        <v>32388</v>
      </c>
      <c r="C426" s="1">
        <v>31721</v>
      </c>
      <c r="D426" t="s">
        <v>1269</v>
      </c>
      <c r="E426" t="s">
        <v>1151</v>
      </c>
      <c r="F426" t="str">
        <f>VLOOKUP(E426,Tabela2[#All],2,FALSE)</f>
        <v>Válvula Nível 3</v>
      </c>
      <c r="G426" t="s">
        <v>1152</v>
      </c>
      <c r="H426" s="1">
        <v>2.66</v>
      </c>
      <c r="I426" s="1">
        <v>2.66</v>
      </c>
      <c r="J426" t="s">
        <v>65</v>
      </c>
      <c r="K426" s="1">
        <v>72</v>
      </c>
      <c r="L426" s="1">
        <v>3.2</v>
      </c>
      <c r="M426" s="1">
        <v>16.399999999999999</v>
      </c>
      <c r="N426" s="1">
        <v>36446</v>
      </c>
      <c r="O426" t="s">
        <v>119</v>
      </c>
      <c r="P426" t="s">
        <v>67</v>
      </c>
      <c r="Q426" t="s">
        <v>68</v>
      </c>
      <c r="R426" s="1">
        <v>0.22</v>
      </c>
      <c r="S426" t="s">
        <v>50</v>
      </c>
      <c r="T426" s="1">
        <v>106.54806422999999</v>
      </c>
      <c r="U426" s="1">
        <v>44.951174229999999</v>
      </c>
      <c r="V426" s="1">
        <v>0</v>
      </c>
      <c r="W426" s="1">
        <v>0</v>
      </c>
      <c r="X426" t="s">
        <v>50</v>
      </c>
      <c r="Y426" t="s">
        <v>50</v>
      </c>
      <c r="Z426" t="s">
        <v>50</v>
      </c>
      <c r="AA426" t="s">
        <v>50</v>
      </c>
      <c r="AB426" s="1">
        <v>18.2</v>
      </c>
      <c r="AC426" t="s">
        <v>50</v>
      </c>
      <c r="AD426" t="s">
        <v>50</v>
      </c>
      <c r="AE426" t="s">
        <v>50</v>
      </c>
      <c r="AF426" t="s">
        <v>50</v>
      </c>
      <c r="AG426" s="1">
        <v>0.3</v>
      </c>
      <c r="AH426" s="1">
        <v>0.83819999999999995</v>
      </c>
      <c r="AI426" s="1">
        <v>0.1095</v>
      </c>
      <c r="AJ426" t="s">
        <v>50</v>
      </c>
      <c r="AK426" t="s">
        <v>50</v>
      </c>
      <c r="AL426" t="s">
        <v>50</v>
      </c>
      <c r="AM426" t="s">
        <v>50</v>
      </c>
      <c r="AN426" s="1">
        <v>3</v>
      </c>
      <c r="AO426" t="s">
        <v>50</v>
      </c>
      <c r="AP426" t="s">
        <v>1153</v>
      </c>
      <c r="AQ426" s="1">
        <v>3285</v>
      </c>
      <c r="AR426" t="s">
        <v>70</v>
      </c>
    </row>
    <row r="427" spans="1:44">
      <c r="A427" s="1">
        <v>51102</v>
      </c>
      <c r="B427" s="1">
        <v>32388</v>
      </c>
      <c r="C427" s="1">
        <v>31721</v>
      </c>
      <c r="D427" t="s">
        <v>1270</v>
      </c>
      <c r="E427" t="s">
        <v>1151</v>
      </c>
      <c r="F427" t="str">
        <f>VLOOKUP(E427,Tabela2[#All],2,FALSE)</f>
        <v>Válvula Nível 3</v>
      </c>
      <c r="G427" t="s">
        <v>1152</v>
      </c>
      <c r="H427" s="1">
        <v>2.83</v>
      </c>
      <c r="I427" s="1">
        <v>2.83</v>
      </c>
      <c r="J427" t="s">
        <v>65</v>
      </c>
      <c r="K427" s="1">
        <v>72</v>
      </c>
      <c r="L427" s="1">
        <v>3.2</v>
      </c>
      <c r="M427" s="1">
        <v>16.399999999999999</v>
      </c>
      <c r="N427" s="1">
        <v>36446</v>
      </c>
      <c r="O427" t="s">
        <v>119</v>
      </c>
      <c r="P427" t="s">
        <v>67</v>
      </c>
      <c r="Q427" t="s">
        <v>68</v>
      </c>
      <c r="R427" s="1">
        <v>0.22</v>
      </c>
      <c r="S427" t="s">
        <v>50</v>
      </c>
      <c r="T427" s="1">
        <v>108.56986422999999</v>
      </c>
      <c r="U427" s="1">
        <v>44.951174229999999</v>
      </c>
      <c r="V427" s="1">
        <v>0</v>
      </c>
      <c r="W427" s="1">
        <v>0</v>
      </c>
      <c r="X427" t="s">
        <v>50</v>
      </c>
      <c r="Y427" t="s">
        <v>50</v>
      </c>
      <c r="Z427" t="s">
        <v>50</v>
      </c>
      <c r="AA427" t="s">
        <v>50</v>
      </c>
      <c r="AB427" s="1">
        <v>18.09</v>
      </c>
      <c r="AC427" t="s">
        <v>50</v>
      </c>
      <c r="AD427" t="s">
        <v>50</v>
      </c>
      <c r="AE427" t="s">
        <v>50</v>
      </c>
      <c r="AF427" t="s">
        <v>50</v>
      </c>
      <c r="AG427" s="1">
        <v>0.3</v>
      </c>
      <c r="AH427" s="1">
        <v>0.83819999999999995</v>
      </c>
      <c r="AI427" s="1">
        <v>0.1095</v>
      </c>
      <c r="AJ427" t="s">
        <v>50</v>
      </c>
      <c r="AK427" t="s">
        <v>50</v>
      </c>
      <c r="AL427" t="s">
        <v>50</v>
      </c>
      <c r="AM427" t="s">
        <v>50</v>
      </c>
      <c r="AN427" s="1">
        <v>3</v>
      </c>
      <c r="AO427" t="s">
        <v>50</v>
      </c>
      <c r="AP427" t="s">
        <v>1153</v>
      </c>
      <c r="AQ427" s="1">
        <v>3285</v>
      </c>
      <c r="AR427" t="s">
        <v>70</v>
      </c>
    </row>
    <row r="428" spans="1:44">
      <c r="A428" s="1">
        <v>51202</v>
      </c>
      <c r="B428" s="1">
        <v>44090</v>
      </c>
      <c r="C428" s="1">
        <v>39142</v>
      </c>
      <c r="D428" t="s">
        <v>1271</v>
      </c>
      <c r="E428" t="s">
        <v>1272</v>
      </c>
      <c r="F428" t="str">
        <f>VLOOKUP(E428,Tabela2[#All],2,FALSE)</f>
        <v>Válvula Nível 3</v>
      </c>
      <c r="G428" t="s">
        <v>1273</v>
      </c>
      <c r="H428" s="1">
        <v>2.6</v>
      </c>
      <c r="I428" s="1">
        <v>2.6</v>
      </c>
      <c r="J428" t="s">
        <v>65</v>
      </c>
      <c r="K428" s="1">
        <v>73.599999999999994</v>
      </c>
      <c r="L428" s="1">
        <v>3.2</v>
      </c>
      <c r="M428" s="1">
        <v>15</v>
      </c>
      <c r="N428" s="1">
        <v>36446</v>
      </c>
      <c r="O428" t="s">
        <v>119</v>
      </c>
      <c r="P428" t="s">
        <v>67</v>
      </c>
      <c r="Q428" t="s">
        <v>68</v>
      </c>
      <c r="R428" s="1">
        <v>0.25</v>
      </c>
      <c r="S428" t="s">
        <v>50</v>
      </c>
      <c r="T428" s="1">
        <v>67.710103360000005</v>
      </c>
      <c r="U428" s="1">
        <v>41.321013360000002</v>
      </c>
      <c r="V428" s="1">
        <v>0</v>
      </c>
      <c r="W428" s="1">
        <v>0</v>
      </c>
      <c r="X428" t="s">
        <v>50</v>
      </c>
      <c r="Y428" t="s">
        <v>50</v>
      </c>
      <c r="Z428" t="s">
        <v>50</v>
      </c>
      <c r="AA428" t="s">
        <v>50</v>
      </c>
      <c r="AB428" s="1">
        <v>7.33</v>
      </c>
      <c r="AC428" t="s">
        <v>50</v>
      </c>
      <c r="AD428" t="s">
        <v>50</v>
      </c>
      <c r="AE428" t="s">
        <v>50</v>
      </c>
      <c r="AF428" t="s">
        <v>50</v>
      </c>
      <c r="AG428" s="1">
        <v>0.20830000000000001</v>
      </c>
      <c r="AH428" s="1">
        <v>0.753</v>
      </c>
      <c r="AI428" t="s">
        <v>50</v>
      </c>
      <c r="AJ428" t="s">
        <v>50</v>
      </c>
      <c r="AK428" t="s">
        <v>50</v>
      </c>
      <c r="AL428" t="s">
        <v>50</v>
      </c>
      <c r="AM428" t="s">
        <v>50</v>
      </c>
      <c r="AN428" s="1">
        <v>3.6</v>
      </c>
      <c r="AO428" t="s">
        <v>50</v>
      </c>
      <c r="AP428" t="s">
        <v>1274</v>
      </c>
      <c r="AQ428" s="1">
        <v>2455</v>
      </c>
      <c r="AR428" t="s">
        <v>70</v>
      </c>
    </row>
    <row r="429" spans="1:44">
      <c r="A429" s="1">
        <v>51199</v>
      </c>
      <c r="B429" s="1">
        <v>44117</v>
      </c>
      <c r="C429" s="1">
        <v>39176</v>
      </c>
      <c r="D429" t="s">
        <v>1275</v>
      </c>
      <c r="E429" t="s">
        <v>1276</v>
      </c>
      <c r="F429" t="str">
        <f>VLOOKUP(E429,Tabela2[#All],2,FALSE)</f>
        <v>Válvula Nível 4</v>
      </c>
      <c r="G429" t="s">
        <v>1277</v>
      </c>
      <c r="H429" s="1">
        <v>1.66</v>
      </c>
      <c r="I429" s="1">
        <v>1.66</v>
      </c>
      <c r="J429" t="s">
        <v>65</v>
      </c>
      <c r="K429" s="1">
        <v>68.95</v>
      </c>
      <c r="L429" s="1">
        <v>3.5</v>
      </c>
      <c r="M429" s="1">
        <v>10</v>
      </c>
      <c r="N429" s="1">
        <v>36446</v>
      </c>
      <c r="O429" t="s">
        <v>119</v>
      </c>
      <c r="P429" t="s">
        <v>67</v>
      </c>
      <c r="Q429" t="s">
        <v>68</v>
      </c>
      <c r="R429" t="s">
        <v>50</v>
      </c>
      <c r="S429" s="1">
        <v>0.186</v>
      </c>
      <c r="T429" s="1">
        <v>52.715952569999999</v>
      </c>
      <c r="U429" s="1">
        <v>29.613862569999998</v>
      </c>
      <c r="V429" s="1">
        <v>0</v>
      </c>
      <c r="W429" s="1">
        <v>0</v>
      </c>
      <c r="X429" t="s">
        <v>50</v>
      </c>
      <c r="Y429" t="s">
        <v>50</v>
      </c>
      <c r="Z429" t="s">
        <v>50</v>
      </c>
      <c r="AA429" t="s">
        <v>50</v>
      </c>
      <c r="AB429" s="1">
        <v>6.38</v>
      </c>
      <c r="AC429" t="s">
        <v>50</v>
      </c>
      <c r="AD429" t="s">
        <v>50</v>
      </c>
      <c r="AE429" t="s">
        <v>50</v>
      </c>
      <c r="AF429" t="s">
        <v>50</v>
      </c>
      <c r="AG429" s="1">
        <v>0.17849999999999999</v>
      </c>
      <c r="AH429" s="1">
        <v>0.94499999999999995</v>
      </c>
      <c r="AI429" t="s">
        <v>50</v>
      </c>
      <c r="AJ429" t="s">
        <v>50</v>
      </c>
      <c r="AK429" t="s">
        <v>50</v>
      </c>
      <c r="AL429" t="s">
        <v>50</v>
      </c>
      <c r="AM429" t="s">
        <v>50</v>
      </c>
      <c r="AN429" s="1">
        <v>2.76</v>
      </c>
      <c r="AO429" t="s">
        <v>50</v>
      </c>
      <c r="AP429" t="s">
        <v>1278</v>
      </c>
      <c r="AQ429" s="1">
        <v>2454</v>
      </c>
      <c r="AR429" t="s">
        <v>70</v>
      </c>
    </row>
    <row r="430" spans="1:44">
      <c r="A430" s="1">
        <v>51910</v>
      </c>
      <c r="B430" s="1">
        <v>44090</v>
      </c>
      <c r="C430" s="1">
        <v>39142</v>
      </c>
      <c r="D430" t="s">
        <v>1279</v>
      </c>
      <c r="E430" t="s">
        <v>1272</v>
      </c>
      <c r="F430" t="str">
        <f>VLOOKUP(E430,Tabela2[#All],2,FALSE)</f>
        <v>Válvula Nível 3</v>
      </c>
      <c r="G430" t="s">
        <v>1273</v>
      </c>
      <c r="H430" s="1">
        <v>2.65</v>
      </c>
      <c r="I430" s="1">
        <v>2.65</v>
      </c>
      <c r="J430" t="s">
        <v>65</v>
      </c>
      <c r="K430" s="1">
        <v>73.599999999999994</v>
      </c>
      <c r="L430" s="1">
        <v>3.2</v>
      </c>
      <c r="M430" s="1">
        <v>15</v>
      </c>
      <c r="N430" s="1">
        <v>36446</v>
      </c>
      <c r="O430" t="s">
        <v>119</v>
      </c>
      <c r="P430" t="s">
        <v>67</v>
      </c>
      <c r="Q430" t="s">
        <v>68</v>
      </c>
      <c r="R430" s="1">
        <v>0.25</v>
      </c>
      <c r="S430" t="s">
        <v>50</v>
      </c>
      <c r="T430" s="1">
        <v>62.81973936</v>
      </c>
      <c r="U430" s="1">
        <v>41.321013360000002</v>
      </c>
      <c r="V430" s="1">
        <v>0</v>
      </c>
      <c r="W430" s="1">
        <v>0</v>
      </c>
      <c r="X430" t="s">
        <v>50</v>
      </c>
      <c r="Y430" t="s">
        <v>50</v>
      </c>
      <c r="Z430" t="s">
        <v>50</v>
      </c>
      <c r="AA430" t="s">
        <v>50</v>
      </c>
      <c r="AB430" s="1">
        <v>5.9165999999999999</v>
      </c>
      <c r="AC430" t="s">
        <v>50</v>
      </c>
      <c r="AD430" t="s">
        <v>50</v>
      </c>
      <c r="AE430" t="s">
        <v>50</v>
      </c>
      <c r="AF430" t="s">
        <v>50</v>
      </c>
      <c r="AG430" s="1">
        <v>0.20830000000000001</v>
      </c>
      <c r="AH430" s="1">
        <v>0.753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s="1">
        <v>3.6</v>
      </c>
      <c r="AO430" t="s">
        <v>50</v>
      </c>
      <c r="AP430" t="s">
        <v>1274</v>
      </c>
      <c r="AQ430" s="1">
        <v>2455</v>
      </c>
      <c r="AR430" t="s">
        <v>70</v>
      </c>
    </row>
    <row r="431" spans="1:44">
      <c r="A431" s="1">
        <v>52076</v>
      </c>
      <c r="B431" s="1">
        <v>44090</v>
      </c>
      <c r="C431" s="1">
        <v>39142</v>
      </c>
      <c r="D431" t="s">
        <v>1280</v>
      </c>
      <c r="E431" t="s">
        <v>1272</v>
      </c>
      <c r="F431" t="str">
        <f>VLOOKUP(E431,Tabela2[#All],2,FALSE)</f>
        <v>Válvula Nível 3</v>
      </c>
      <c r="G431" t="s">
        <v>1273</v>
      </c>
      <c r="H431" s="1">
        <v>2.5049999999999999</v>
      </c>
      <c r="I431" s="1">
        <v>2.5049999999999999</v>
      </c>
      <c r="J431" t="s">
        <v>65</v>
      </c>
      <c r="K431" s="1">
        <v>73.599999999999994</v>
      </c>
      <c r="L431" s="1">
        <v>3.2</v>
      </c>
      <c r="M431" s="1">
        <v>15</v>
      </c>
      <c r="N431" s="1">
        <v>36446</v>
      </c>
      <c r="O431" t="s">
        <v>119</v>
      </c>
      <c r="P431" t="s">
        <v>67</v>
      </c>
      <c r="Q431" t="s">
        <v>68</v>
      </c>
      <c r="R431" s="1">
        <v>0.25</v>
      </c>
      <c r="S431" t="s">
        <v>50</v>
      </c>
      <c r="T431" s="1">
        <v>69.613103359999997</v>
      </c>
      <c r="U431" s="1">
        <v>41.321013360000002</v>
      </c>
      <c r="V431" s="1">
        <v>0</v>
      </c>
      <c r="W431" s="1">
        <v>0</v>
      </c>
      <c r="X431" t="s">
        <v>50</v>
      </c>
      <c r="Y431" t="s">
        <v>50</v>
      </c>
      <c r="Z431" t="s">
        <v>50</v>
      </c>
      <c r="AA431" t="s">
        <v>50</v>
      </c>
      <c r="AB431" s="1">
        <v>7.88</v>
      </c>
      <c r="AC431" t="s">
        <v>50</v>
      </c>
      <c r="AD431" t="s">
        <v>50</v>
      </c>
      <c r="AE431" t="s">
        <v>50</v>
      </c>
      <c r="AF431" t="s">
        <v>50</v>
      </c>
      <c r="AG431" s="1">
        <v>0.20830000000000001</v>
      </c>
      <c r="AH431" s="1">
        <v>0.753</v>
      </c>
      <c r="AI431" t="s">
        <v>50</v>
      </c>
      <c r="AJ431" t="s">
        <v>50</v>
      </c>
      <c r="AK431" t="s">
        <v>50</v>
      </c>
      <c r="AL431" t="s">
        <v>50</v>
      </c>
      <c r="AM431" t="s">
        <v>50</v>
      </c>
      <c r="AN431" s="1">
        <v>3.6</v>
      </c>
      <c r="AO431" t="s">
        <v>50</v>
      </c>
      <c r="AP431" t="s">
        <v>1274</v>
      </c>
      <c r="AQ431" s="1">
        <v>2455</v>
      </c>
      <c r="AR431" t="s">
        <v>70</v>
      </c>
    </row>
    <row r="432" spans="1:44">
      <c r="A432" s="1">
        <v>54485</v>
      </c>
      <c r="B432" s="1">
        <v>54487</v>
      </c>
      <c r="C432" s="1">
        <v>48787</v>
      </c>
      <c r="D432" t="s">
        <v>1281</v>
      </c>
      <c r="E432" t="s">
        <v>1282</v>
      </c>
      <c r="F432" t="str">
        <f>VLOOKUP(E432,Tabela2[#All],2,FALSE)</f>
        <v>Válvula Nível 3</v>
      </c>
      <c r="G432" t="s">
        <v>1283</v>
      </c>
      <c r="H432" s="1">
        <v>4.8</v>
      </c>
      <c r="I432" s="1">
        <v>4.8</v>
      </c>
      <c r="J432" t="s">
        <v>65</v>
      </c>
      <c r="K432" s="1">
        <v>81.481481000000002</v>
      </c>
      <c r="L432" s="1">
        <v>1.6</v>
      </c>
      <c r="M432" s="1">
        <v>10.8</v>
      </c>
      <c r="N432" s="1">
        <v>36446</v>
      </c>
      <c r="O432" t="s">
        <v>119</v>
      </c>
      <c r="P432" t="s">
        <v>67</v>
      </c>
      <c r="Q432" t="s">
        <v>68</v>
      </c>
      <c r="R432" s="1">
        <v>0.19</v>
      </c>
      <c r="S432" t="s">
        <v>50</v>
      </c>
      <c r="T432" s="1">
        <v>121.23791258</v>
      </c>
      <c r="U432" s="1">
        <v>54.643622579999999</v>
      </c>
      <c r="V432" s="1">
        <v>0</v>
      </c>
      <c r="W432" s="1">
        <v>0</v>
      </c>
      <c r="X432" t="s">
        <v>50</v>
      </c>
      <c r="Y432" t="s">
        <v>50</v>
      </c>
      <c r="Z432" t="s">
        <v>50</v>
      </c>
      <c r="AA432" t="s">
        <v>50</v>
      </c>
      <c r="AB432" s="1">
        <v>18.95</v>
      </c>
      <c r="AC432" t="s">
        <v>50</v>
      </c>
      <c r="AD432" t="s">
        <v>50</v>
      </c>
      <c r="AE432" t="s">
        <v>50</v>
      </c>
      <c r="AF432" t="s">
        <v>50</v>
      </c>
      <c r="AG432" s="1">
        <v>0.83333299999999999</v>
      </c>
      <c r="AH432" s="1">
        <v>1.089</v>
      </c>
      <c r="AI432" t="s">
        <v>50</v>
      </c>
      <c r="AJ432" t="s">
        <v>50</v>
      </c>
      <c r="AK432" t="s">
        <v>50</v>
      </c>
      <c r="AL432" t="s">
        <v>50</v>
      </c>
      <c r="AM432" t="s">
        <v>50</v>
      </c>
      <c r="AN432" s="1">
        <v>3.9990000000000001</v>
      </c>
      <c r="AO432" t="s">
        <v>50</v>
      </c>
      <c r="AP432" t="s">
        <v>1284</v>
      </c>
      <c r="AQ432" s="1">
        <v>3607</v>
      </c>
      <c r="AR432" t="s">
        <v>70</v>
      </c>
    </row>
    <row r="433" spans="1:44">
      <c r="A433" s="1">
        <v>52719</v>
      </c>
      <c r="B433" s="1">
        <v>66221</v>
      </c>
      <c r="C433" s="1">
        <v>60174</v>
      </c>
      <c r="D433" t="s">
        <v>1285</v>
      </c>
      <c r="E433" t="s">
        <v>1286</v>
      </c>
      <c r="F433" t="str">
        <f>VLOOKUP(E433,Tabela2[#All],2,FALSE)</f>
        <v>Válvula Nível 3</v>
      </c>
      <c r="G433" t="s">
        <v>1287</v>
      </c>
      <c r="H433" s="1">
        <v>1.8</v>
      </c>
      <c r="I433" s="1">
        <v>1.8</v>
      </c>
      <c r="J433" t="s">
        <v>65</v>
      </c>
      <c r="K433" s="1">
        <v>73.058824000000001</v>
      </c>
      <c r="L433" s="1">
        <v>4.5</v>
      </c>
      <c r="M433" s="1">
        <v>12.75</v>
      </c>
      <c r="N433" s="1">
        <v>36446</v>
      </c>
      <c r="O433" t="s">
        <v>119</v>
      </c>
      <c r="P433" t="s">
        <v>67</v>
      </c>
      <c r="Q433" t="s">
        <v>68</v>
      </c>
      <c r="R433" t="s">
        <v>50</v>
      </c>
      <c r="S433" t="s">
        <v>50</v>
      </c>
      <c r="T433" s="1">
        <v>45.84430485</v>
      </c>
      <c r="U433" s="1">
        <v>18.478664850000001</v>
      </c>
      <c r="V433" s="1">
        <v>0</v>
      </c>
      <c r="W433" s="1">
        <v>0</v>
      </c>
      <c r="X433" t="s">
        <v>50</v>
      </c>
      <c r="Y433" t="s">
        <v>50</v>
      </c>
      <c r="Z433" t="s">
        <v>50</v>
      </c>
      <c r="AA433" t="s">
        <v>50</v>
      </c>
      <c r="AB433" s="1">
        <v>7.26</v>
      </c>
      <c r="AC433" t="s">
        <v>50</v>
      </c>
      <c r="AD433" t="s">
        <v>50</v>
      </c>
      <c r="AE433" t="s">
        <v>50</v>
      </c>
      <c r="AF433" t="s">
        <v>50</v>
      </c>
      <c r="AG433" s="1">
        <v>0.16700000000000001</v>
      </c>
      <c r="AH433" t="s">
        <v>50</v>
      </c>
      <c r="AI433" t="s">
        <v>50</v>
      </c>
      <c r="AJ433" t="s">
        <v>50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t="s">
        <v>1288</v>
      </c>
      <c r="AQ433" s="1">
        <v>5367</v>
      </c>
      <c r="AR433" t="s">
        <v>70</v>
      </c>
    </row>
    <row r="434" spans="1:44">
      <c r="A434" s="1">
        <v>54711</v>
      </c>
      <c r="B434" s="1">
        <v>32373</v>
      </c>
      <c r="C434" s="1">
        <v>31706</v>
      </c>
      <c r="D434" t="s">
        <v>1289</v>
      </c>
      <c r="E434" t="s">
        <v>1050</v>
      </c>
      <c r="F434" t="str">
        <f>VLOOKUP(E434,Tabela2[#All],2,FALSE)</f>
        <v>Válvula Nível 4</v>
      </c>
      <c r="G434" t="s">
        <v>450</v>
      </c>
      <c r="H434" s="1">
        <v>2.1</v>
      </c>
      <c r="I434" s="1">
        <v>2.1</v>
      </c>
      <c r="J434" t="s">
        <v>65</v>
      </c>
      <c r="K434" s="1">
        <v>78.289654999999996</v>
      </c>
      <c r="L434" s="1">
        <v>3.3</v>
      </c>
      <c r="M434" s="1">
        <v>14.5</v>
      </c>
      <c r="N434" s="1">
        <v>36441</v>
      </c>
      <c r="O434" t="s">
        <v>66</v>
      </c>
      <c r="P434" t="s">
        <v>67</v>
      </c>
      <c r="Q434" t="s">
        <v>68</v>
      </c>
      <c r="R434" s="1">
        <v>0.05</v>
      </c>
      <c r="S434" s="1">
        <v>0.37</v>
      </c>
      <c r="T434" s="1">
        <v>61.972756339999997</v>
      </c>
      <c r="U434" s="1">
        <v>33.203316340000001</v>
      </c>
      <c r="V434" s="1">
        <v>0</v>
      </c>
      <c r="W434" s="1">
        <v>0</v>
      </c>
      <c r="X434" t="s">
        <v>50</v>
      </c>
      <c r="Y434" t="s">
        <v>50</v>
      </c>
      <c r="Z434" t="s">
        <v>50</v>
      </c>
      <c r="AA434" t="s">
        <v>50</v>
      </c>
      <c r="AB434" s="1">
        <v>9.4</v>
      </c>
      <c r="AC434" t="s">
        <v>50</v>
      </c>
      <c r="AD434" t="s">
        <v>50</v>
      </c>
      <c r="AE434" t="s">
        <v>50</v>
      </c>
      <c r="AF434" t="s">
        <v>50</v>
      </c>
      <c r="AG434" s="1">
        <v>5.3999999999999999E-2</v>
      </c>
      <c r="AH434" s="1">
        <v>0.66659999999999997</v>
      </c>
      <c r="AI434" s="1">
        <v>8.8400000000000006E-2</v>
      </c>
      <c r="AJ434" t="s">
        <v>50</v>
      </c>
      <c r="AK434" t="s">
        <v>50</v>
      </c>
      <c r="AL434" t="s">
        <v>50</v>
      </c>
      <c r="AM434" t="s">
        <v>50</v>
      </c>
      <c r="AN434" s="1">
        <v>3</v>
      </c>
      <c r="AO434" t="s">
        <v>50</v>
      </c>
      <c r="AP434" t="s">
        <v>1051</v>
      </c>
      <c r="AQ434" s="1">
        <v>1938</v>
      </c>
      <c r="AR434" t="s">
        <v>70</v>
      </c>
    </row>
    <row r="435" spans="1:44">
      <c r="A435" s="1">
        <v>61037</v>
      </c>
      <c r="B435" s="1">
        <v>37021</v>
      </c>
      <c r="C435" s="1">
        <v>34815</v>
      </c>
      <c r="D435" t="s">
        <v>1291</v>
      </c>
      <c r="E435" t="s">
        <v>1292</v>
      </c>
      <c r="F435" t="str">
        <f>VLOOKUP(E435,Tabela2[#All],2,FALSE)</f>
        <v>Válvula Nível 1</v>
      </c>
      <c r="G435" t="s">
        <v>1293</v>
      </c>
      <c r="H435" s="1">
        <v>17</v>
      </c>
      <c r="I435" s="1">
        <v>17</v>
      </c>
      <c r="J435" t="s">
        <v>65</v>
      </c>
      <c r="K435" s="1">
        <v>71.740617999999998</v>
      </c>
      <c r="L435" s="1">
        <v>0.66666599999999998</v>
      </c>
      <c r="M435" s="1">
        <v>15.333</v>
      </c>
      <c r="N435" s="1">
        <v>36446</v>
      </c>
      <c r="O435" t="s">
        <v>119</v>
      </c>
      <c r="P435" t="s">
        <v>67</v>
      </c>
      <c r="Q435" t="s">
        <v>68</v>
      </c>
      <c r="R435" t="s">
        <v>50</v>
      </c>
      <c r="S435" t="s">
        <v>50</v>
      </c>
      <c r="T435" s="1">
        <v>430.11074306</v>
      </c>
      <c r="U435" s="1">
        <v>250.61646306</v>
      </c>
      <c r="V435" s="1">
        <v>0</v>
      </c>
      <c r="W435" s="1">
        <v>0</v>
      </c>
      <c r="X435" t="s">
        <v>50</v>
      </c>
      <c r="Y435" t="s">
        <v>50</v>
      </c>
      <c r="Z435" t="s">
        <v>50</v>
      </c>
      <c r="AA435" t="s">
        <v>50</v>
      </c>
      <c r="AB435" s="1">
        <v>52</v>
      </c>
      <c r="AC435" t="s">
        <v>50</v>
      </c>
      <c r="AD435" t="s">
        <v>50</v>
      </c>
      <c r="AE435" t="s">
        <v>50</v>
      </c>
      <c r="AF435" t="s">
        <v>50</v>
      </c>
      <c r="AG435" s="1">
        <v>1.667</v>
      </c>
      <c r="AH435" s="1">
        <v>4.6177000000000001</v>
      </c>
      <c r="AI435" s="1">
        <v>0.3</v>
      </c>
      <c r="AJ435" t="s">
        <v>50</v>
      </c>
      <c r="AK435" t="s">
        <v>50</v>
      </c>
      <c r="AL435" t="s">
        <v>50</v>
      </c>
      <c r="AM435" t="s">
        <v>50</v>
      </c>
      <c r="AN435" s="1">
        <v>24</v>
      </c>
      <c r="AO435" t="s">
        <v>50</v>
      </c>
      <c r="AP435" t="s">
        <v>1294</v>
      </c>
      <c r="AQ435" s="1">
        <v>6787</v>
      </c>
      <c r="AR435" t="s">
        <v>70</v>
      </c>
    </row>
    <row r="436" spans="1:44">
      <c r="A436" s="1">
        <v>51436</v>
      </c>
      <c r="B436" s="1">
        <v>37021</v>
      </c>
      <c r="C436" s="1">
        <v>34815</v>
      </c>
      <c r="D436" t="s">
        <v>1295</v>
      </c>
      <c r="E436" t="s">
        <v>1292</v>
      </c>
      <c r="F436" t="str">
        <f>VLOOKUP(E436,Tabela2[#All],2,FALSE)</f>
        <v>Válvula Nível 1</v>
      </c>
      <c r="G436" t="s">
        <v>1293</v>
      </c>
      <c r="H436" s="1">
        <v>14.43</v>
      </c>
      <c r="I436" s="1">
        <v>14.43</v>
      </c>
      <c r="J436" t="s">
        <v>65</v>
      </c>
      <c r="K436" s="1">
        <v>71.740617999999998</v>
      </c>
      <c r="L436" s="1">
        <v>0.66666599999999998</v>
      </c>
      <c r="M436" s="1">
        <v>15.333</v>
      </c>
      <c r="N436" s="1">
        <v>36446</v>
      </c>
      <c r="O436" t="s">
        <v>119</v>
      </c>
      <c r="P436" t="s">
        <v>67</v>
      </c>
      <c r="Q436" t="s">
        <v>68</v>
      </c>
      <c r="R436" t="s">
        <v>50</v>
      </c>
      <c r="S436" t="s">
        <v>50</v>
      </c>
      <c r="T436" s="1">
        <v>416.45874306000002</v>
      </c>
      <c r="U436" s="1">
        <v>250.61646306</v>
      </c>
      <c r="V436" s="1">
        <v>0</v>
      </c>
      <c r="W436" s="1">
        <v>0</v>
      </c>
      <c r="X436" t="s">
        <v>50</v>
      </c>
      <c r="Y436" t="s">
        <v>50</v>
      </c>
      <c r="Z436" t="s">
        <v>50</v>
      </c>
      <c r="AA436" t="s">
        <v>50</v>
      </c>
      <c r="AB436" s="1">
        <v>48</v>
      </c>
      <c r="AC436" t="s">
        <v>50</v>
      </c>
      <c r="AD436" t="s">
        <v>50</v>
      </c>
      <c r="AE436" t="s">
        <v>50</v>
      </c>
      <c r="AF436" t="s">
        <v>50</v>
      </c>
      <c r="AG436" s="1">
        <v>1.667</v>
      </c>
      <c r="AH436" s="1">
        <v>4.6177000000000001</v>
      </c>
      <c r="AI436" s="1">
        <v>0.3</v>
      </c>
      <c r="AJ436" t="s">
        <v>50</v>
      </c>
      <c r="AK436" t="s">
        <v>50</v>
      </c>
      <c r="AL436" t="s">
        <v>50</v>
      </c>
      <c r="AM436" t="s">
        <v>50</v>
      </c>
      <c r="AN436" s="1">
        <v>24</v>
      </c>
      <c r="AO436" t="s">
        <v>50</v>
      </c>
      <c r="AP436" t="s">
        <v>1294</v>
      </c>
      <c r="AQ436" s="1">
        <v>6787</v>
      </c>
      <c r="AR436" t="s">
        <v>70</v>
      </c>
    </row>
    <row r="437" spans="1:44">
      <c r="A437" s="1">
        <v>50307</v>
      </c>
      <c r="B437" s="1">
        <v>32374</v>
      </c>
      <c r="C437" s="1">
        <v>31707</v>
      </c>
      <c r="D437" t="s">
        <v>1296</v>
      </c>
      <c r="E437" t="s">
        <v>1046</v>
      </c>
      <c r="F437" t="str">
        <f>VLOOKUP(E437,Tabela2[#All],2,FALSE)</f>
        <v>Válvula Nível 3</v>
      </c>
      <c r="G437" t="s">
        <v>1047</v>
      </c>
      <c r="H437" s="1">
        <v>1.99</v>
      </c>
      <c r="I437" s="1">
        <v>1.99</v>
      </c>
      <c r="J437" t="s">
        <v>65</v>
      </c>
      <c r="K437" s="1">
        <v>78.260862000000003</v>
      </c>
      <c r="L437" s="1">
        <v>3.3333330000000001</v>
      </c>
      <c r="M437" s="1">
        <v>11.5</v>
      </c>
      <c r="N437" s="1">
        <v>36441</v>
      </c>
      <c r="O437" t="s">
        <v>66</v>
      </c>
      <c r="P437" t="s">
        <v>67</v>
      </c>
      <c r="Q437" t="s">
        <v>68</v>
      </c>
      <c r="R437" s="1">
        <v>0.28699999999999998</v>
      </c>
      <c r="S437" t="s">
        <v>50</v>
      </c>
      <c r="T437" s="1">
        <v>68.346105589999993</v>
      </c>
      <c r="U437" s="1">
        <v>34.386695590000002</v>
      </c>
      <c r="V437" s="1">
        <v>0</v>
      </c>
      <c r="W437" s="1">
        <v>0</v>
      </c>
      <c r="X437" t="s">
        <v>50</v>
      </c>
      <c r="Y437" t="s">
        <v>50</v>
      </c>
      <c r="Z437" t="s">
        <v>50</v>
      </c>
      <c r="AA437" t="s">
        <v>50</v>
      </c>
      <c r="AB437" s="1">
        <v>9.2200000000000006</v>
      </c>
      <c r="AC437" t="s">
        <v>50</v>
      </c>
      <c r="AD437" t="s">
        <v>50</v>
      </c>
      <c r="AE437" t="s">
        <v>50</v>
      </c>
      <c r="AF437" t="s">
        <v>50</v>
      </c>
      <c r="AG437" s="1">
        <v>0.15625</v>
      </c>
      <c r="AH437" s="1">
        <v>0.4</v>
      </c>
      <c r="AI437" s="1">
        <v>7.6600000000000001E-2</v>
      </c>
      <c r="AJ437" t="s">
        <v>50</v>
      </c>
      <c r="AK437" t="s">
        <v>50</v>
      </c>
      <c r="AL437" t="s">
        <v>50</v>
      </c>
      <c r="AM437" t="s">
        <v>50</v>
      </c>
      <c r="AN437" s="1">
        <v>2.76</v>
      </c>
      <c r="AO437" t="s">
        <v>50</v>
      </c>
      <c r="AP437" t="s">
        <v>1048</v>
      </c>
      <c r="AQ437" s="1">
        <v>1937</v>
      </c>
      <c r="AR437" t="s">
        <v>70</v>
      </c>
    </row>
    <row r="438" spans="1:44">
      <c r="A438" s="1">
        <v>41356</v>
      </c>
      <c r="B438" s="1">
        <v>32374</v>
      </c>
      <c r="C438" s="1">
        <v>31707</v>
      </c>
      <c r="D438" t="s">
        <v>1297</v>
      </c>
      <c r="E438" t="s">
        <v>1046</v>
      </c>
      <c r="F438" t="str">
        <f>VLOOKUP(E438,Tabela2[#All],2,FALSE)</f>
        <v>Válvula Nível 3</v>
      </c>
      <c r="G438" t="s">
        <v>1047</v>
      </c>
      <c r="H438" s="1">
        <v>1.91</v>
      </c>
      <c r="I438" s="1">
        <v>1.91</v>
      </c>
      <c r="J438" t="s">
        <v>65</v>
      </c>
      <c r="K438" s="1">
        <v>78.260862000000003</v>
      </c>
      <c r="L438" s="1">
        <v>3.3333330000000001</v>
      </c>
      <c r="M438" s="1">
        <v>11.5</v>
      </c>
      <c r="N438" s="1">
        <v>36441</v>
      </c>
      <c r="O438" t="s">
        <v>66</v>
      </c>
      <c r="P438" t="s">
        <v>67</v>
      </c>
      <c r="Q438" t="s">
        <v>68</v>
      </c>
      <c r="R438" s="1">
        <v>0.28699999999999998</v>
      </c>
      <c r="S438" t="s">
        <v>50</v>
      </c>
      <c r="T438" s="1">
        <v>75.149535589999999</v>
      </c>
      <c r="U438" s="1">
        <v>34.386695590000002</v>
      </c>
      <c r="V438" s="1">
        <v>0</v>
      </c>
      <c r="W438" s="1">
        <v>0</v>
      </c>
      <c r="X438" t="s">
        <v>50</v>
      </c>
      <c r="Y438" t="s">
        <v>50</v>
      </c>
      <c r="Z438" t="s">
        <v>50</v>
      </c>
      <c r="AA438" t="s">
        <v>50</v>
      </c>
      <c r="AB438" s="1">
        <v>11.5</v>
      </c>
      <c r="AC438" t="s">
        <v>50</v>
      </c>
      <c r="AD438" t="s">
        <v>50</v>
      </c>
      <c r="AE438" t="s">
        <v>50</v>
      </c>
      <c r="AF438" t="s">
        <v>50</v>
      </c>
      <c r="AG438" s="1">
        <v>0.15625</v>
      </c>
      <c r="AH438" s="1">
        <v>0.4</v>
      </c>
      <c r="AI438" s="1">
        <v>7.6600000000000001E-2</v>
      </c>
      <c r="AJ438" t="s">
        <v>50</v>
      </c>
      <c r="AK438" t="s">
        <v>50</v>
      </c>
      <c r="AL438" t="s">
        <v>50</v>
      </c>
      <c r="AM438" t="s">
        <v>50</v>
      </c>
      <c r="AN438" s="1">
        <v>2.76</v>
      </c>
      <c r="AO438" t="s">
        <v>50</v>
      </c>
      <c r="AP438" t="s">
        <v>1048</v>
      </c>
      <c r="AQ438" s="1">
        <v>1937</v>
      </c>
      <c r="AR438" t="s">
        <v>70</v>
      </c>
    </row>
    <row r="439" spans="1:44">
      <c r="A439" s="1">
        <v>70640</v>
      </c>
      <c r="B439" s="1">
        <v>70506</v>
      </c>
      <c r="C439" s="1">
        <v>64073</v>
      </c>
      <c r="D439" t="s">
        <v>1298</v>
      </c>
      <c r="E439" t="s">
        <v>1299</v>
      </c>
      <c r="F439" t="str">
        <f>VLOOKUP(E439,Tabela2[#All],2,FALSE)</f>
        <v>Válvula Nível 3</v>
      </c>
      <c r="G439" t="s">
        <v>1300</v>
      </c>
      <c r="H439" s="1">
        <v>4.3</v>
      </c>
      <c r="I439" s="1">
        <v>4.3</v>
      </c>
      <c r="J439" t="s">
        <v>65</v>
      </c>
      <c r="K439" s="1">
        <v>78.166370000000001</v>
      </c>
      <c r="L439" s="1">
        <v>1.666666</v>
      </c>
      <c r="M439" s="1">
        <v>12.58</v>
      </c>
      <c r="N439" s="1">
        <v>36446</v>
      </c>
      <c r="O439" t="s">
        <v>119</v>
      </c>
      <c r="P439" t="s">
        <v>67</v>
      </c>
      <c r="Q439" t="s">
        <v>68</v>
      </c>
      <c r="R439" s="1">
        <v>0.35</v>
      </c>
      <c r="S439" t="s">
        <v>50</v>
      </c>
      <c r="T439" s="1">
        <v>106.25967625</v>
      </c>
      <c r="U439" s="1">
        <v>55.249331249999997</v>
      </c>
      <c r="V439" s="1">
        <v>0</v>
      </c>
      <c r="W439" s="1">
        <v>0</v>
      </c>
      <c r="X439" t="s">
        <v>50</v>
      </c>
      <c r="Y439" t="s">
        <v>50</v>
      </c>
      <c r="Z439" t="s">
        <v>50</v>
      </c>
      <c r="AA439" t="s">
        <v>50</v>
      </c>
      <c r="AB439" s="1">
        <v>14.5</v>
      </c>
      <c r="AC439" t="s">
        <v>50</v>
      </c>
      <c r="AD439" t="s">
        <v>50</v>
      </c>
      <c r="AE439" t="s">
        <v>50</v>
      </c>
      <c r="AF439" t="s">
        <v>50</v>
      </c>
      <c r="AG439" s="1">
        <v>0.33300000000000002</v>
      </c>
      <c r="AH439" t="s">
        <v>50</v>
      </c>
      <c r="AI439" s="1">
        <v>0.115</v>
      </c>
      <c r="AJ439" t="s">
        <v>50</v>
      </c>
      <c r="AK439" t="s">
        <v>50</v>
      </c>
      <c r="AL439" t="s">
        <v>50</v>
      </c>
      <c r="AM439" t="s">
        <v>50</v>
      </c>
      <c r="AN439" s="1">
        <v>5.85</v>
      </c>
      <c r="AO439" t="s">
        <v>50</v>
      </c>
      <c r="AP439" t="s">
        <v>1301</v>
      </c>
      <c r="AQ439" s="1">
        <v>6727</v>
      </c>
      <c r="AR439" t="s">
        <v>70</v>
      </c>
    </row>
    <row r="440" spans="1:44">
      <c r="A440" s="1">
        <v>70638</v>
      </c>
      <c r="B440" s="1">
        <v>70506</v>
      </c>
      <c r="C440" s="1">
        <v>64073</v>
      </c>
      <c r="D440" t="s">
        <v>1302</v>
      </c>
      <c r="E440" t="s">
        <v>1299</v>
      </c>
      <c r="F440" t="str">
        <f>VLOOKUP(E440,Tabela2[#All],2,FALSE)</f>
        <v>Válvula Nível 3</v>
      </c>
      <c r="G440" t="s">
        <v>1300</v>
      </c>
      <c r="H440" s="1">
        <v>4.3</v>
      </c>
      <c r="I440" s="1">
        <v>4.3</v>
      </c>
      <c r="J440" t="s">
        <v>65</v>
      </c>
      <c r="K440" s="1">
        <v>78.166370000000001</v>
      </c>
      <c r="L440" s="1">
        <v>1.666666</v>
      </c>
      <c r="M440" s="1">
        <v>12.58</v>
      </c>
      <c r="N440" s="1">
        <v>36446</v>
      </c>
      <c r="O440" t="s">
        <v>119</v>
      </c>
      <c r="P440" t="s">
        <v>67</v>
      </c>
      <c r="Q440" t="s">
        <v>68</v>
      </c>
      <c r="R440" s="1">
        <v>0.35</v>
      </c>
      <c r="S440" t="s">
        <v>50</v>
      </c>
      <c r="T440" s="1">
        <v>110.27327625</v>
      </c>
      <c r="U440" s="1">
        <v>55.249331249999997</v>
      </c>
      <c r="V440" s="1">
        <v>0</v>
      </c>
      <c r="W440" s="1">
        <v>0</v>
      </c>
      <c r="X440" t="s">
        <v>50</v>
      </c>
      <c r="Y440" t="s">
        <v>50</v>
      </c>
      <c r="Z440" t="s">
        <v>50</v>
      </c>
      <c r="AA440" t="s">
        <v>50</v>
      </c>
      <c r="AB440" s="1">
        <v>15.66</v>
      </c>
      <c r="AC440" t="s">
        <v>50</v>
      </c>
      <c r="AD440" t="s">
        <v>50</v>
      </c>
      <c r="AE440" t="s">
        <v>50</v>
      </c>
      <c r="AF440" t="s">
        <v>50</v>
      </c>
      <c r="AG440" s="1">
        <v>0.33300000000000002</v>
      </c>
      <c r="AH440" t="s">
        <v>50</v>
      </c>
      <c r="AI440" s="1">
        <v>0.115</v>
      </c>
      <c r="AJ440" t="s">
        <v>50</v>
      </c>
      <c r="AK440" t="s">
        <v>50</v>
      </c>
      <c r="AL440" t="s">
        <v>50</v>
      </c>
      <c r="AM440" t="s">
        <v>50</v>
      </c>
      <c r="AN440" s="1">
        <v>5.85</v>
      </c>
      <c r="AO440" t="s">
        <v>50</v>
      </c>
      <c r="AP440" t="s">
        <v>1301</v>
      </c>
      <c r="AQ440" s="1">
        <v>6727</v>
      </c>
      <c r="AR440" t="s">
        <v>70</v>
      </c>
    </row>
    <row r="441" spans="1:44">
      <c r="A441" s="1">
        <v>60999</v>
      </c>
      <c r="B441" s="1">
        <v>44090</v>
      </c>
      <c r="C441" s="1">
        <v>39142</v>
      </c>
      <c r="D441" t="s">
        <v>1303</v>
      </c>
      <c r="E441" t="s">
        <v>1272</v>
      </c>
      <c r="F441" t="str">
        <f>VLOOKUP(E441,Tabela2[#All],2,FALSE)</f>
        <v>Válvula Nível 3</v>
      </c>
      <c r="G441" t="s">
        <v>1273</v>
      </c>
      <c r="H441" s="1">
        <v>2.6</v>
      </c>
      <c r="I441" s="1">
        <v>2.6</v>
      </c>
      <c r="J441" t="s">
        <v>65</v>
      </c>
      <c r="K441" s="1">
        <v>73.599999999999994</v>
      </c>
      <c r="L441" s="1">
        <v>3.2</v>
      </c>
      <c r="M441" s="1">
        <v>15</v>
      </c>
      <c r="N441" s="1">
        <v>36446</v>
      </c>
      <c r="O441" t="s">
        <v>119</v>
      </c>
      <c r="P441" t="s">
        <v>67</v>
      </c>
      <c r="Q441" t="s">
        <v>68</v>
      </c>
      <c r="R441" s="1">
        <v>0.25</v>
      </c>
      <c r="S441" t="s">
        <v>50</v>
      </c>
      <c r="T441" s="1">
        <v>78.228503360000005</v>
      </c>
      <c r="U441" s="1">
        <v>41.321013360000002</v>
      </c>
      <c r="V441" s="1">
        <v>0</v>
      </c>
      <c r="W441" s="1">
        <v>0</v>
      </c>
      <c r="X441" t="s">
        <v>50</v>
      </c>
      <c r="Y441" t="s">
        <v>50</v>
      </c>
      <c r="Z441" t="s">
        <v>50</v>
      </c>
      <c r="AA441" t="s">
        <v>50</v>
      </c>
      <c r="AB441" s="1">
        <v>10.37</v>
      </c>
      <c r="AC441" t="s">
        <v>50</v>
      </c>
      <c r="AD441" t="s">
        <v>50</v>
      </c>
      <c r="AE441" t="s">
        <v>50</v>
      </c>
      <c r="AF441" t="s">
        <v>50</v>
      </c>
      <c r="AG441" s="1">
        <v>0.20830000000000001</v>
      </c>
      <c r="AH441" s="1">
        <v>0.753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s="1">
        <v>3.6</v>
      </c>
      <c r="AO441" t="s">
        <v>50</v>
      </c>
      <c r="AP441" t="s">
        <v>1274</v>
      </c>
      <c r="AQ441" s="1">
        <v>2455</v>
      </c>
      <c r="AR441" t="s">
        <v>70</v>
      </c>
    </row>
    <row r="442" spans="1:44">
      <c r="A442" s="1">
        <v>70650</v>
      </c>
      <c r="B442" s="1">
        <v>70506</v>
      </c>
      <c r="C442" s="1">
        <v>64073</v>
      </c>
      <c r="D442" t="s">
        <v>1304</v>
      </c>
      <c r="E442" t="s">
        <v>1299</v>
      </c>
      <c r="F442" t="str">
        <f>VLOOKUP(E442,Tabela2[#All],2,FALSE)</f>
        <v>Válvula Nível 3</v>
      </c>
      <c r="G442" t="s">
        <v>1300</v>
      </c>
      <c r="H442" s="1">
        <v>5.6</v>
      </c>
      <c r="I442" s="1">
        <v>5.6</v>
      </c>
      <c r="J442" t="s">
        <v>65</v>
      </c>
      <c r="K442" s="1">
        <v>78.166370000000001</v>
      </c>
      <c r="L442" s="1">
        <v>1.666666</v>
      </c>
      <c r="M442" s="1">
        <v>12.58</v>
      </c>
      <c r="N442" s="1">
        <v>36446</v>
      </c>
      <c r="O442" t="s">
        <v>119</v>
      </c>
      <c r="P442" t="s">
        <v>67</v>
      </c>
      <c r="Q442" t="s">
        <v>68</v>
      </c>
      <c r="R442" s="1">
        <v>0.35</v>
      </c>
      <c r="S442" t="s">
        <v>50</v>
      </c>
      <c r="T442" s="1">
        <v>55.249331249999997</v>
      </c>
      <c r="U442" s="1">
        <v>55.249331249999997</v>
      </c>
      <c r="V442" s="1">
        <v>0</v>
      </c>
      <c r="W442" s="1">
        <v>0</v>
      </c>
      <c r="X442" t="s">
        <v>50</v>
      </c>
      <c r="Y442" t="s">
        <v>50</v>
      </c>
      <c r="Z442" t="s">
        <v>50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s="1">
        <v>0.33300000000000002</v>
      </c>
      <c r="AH442" t="s">
        <v>50</v>
      </c>
      <c r="AI442" s="1">
        <v>0.115</v>
      </c>
      <c r="AJ442" t="s">
        <v>50</v>
      </c>
      <c r="AK442" t="s">
        <v>50</v>
      </c>
      <c r="AL442" t="s">
        <v>50</v>
      </c>
      <c r="AM442" t="s">
        <v>50</v>
      </c>
      <c r="AN442" s="1">
        <v>5.85</v>
      </c>
      <c r="AO442" t="s">
        <v>50</v>
      </c>
      <c r="AP442" t="s">
        <v>1301</v>
      </c>
      <c r="AQ442" s="1">
        <v>6727</v>
      </c>
      <c r="AR442" t="s">
        <v>70</v>
      </c>
    </row>
    <row r="443" spans="1:44">
      <c r="A443" s="1">
        <v>60998</v>
      </c>
      <c r="B443" s="1">
        <v>37005</v>
      </c>
      <c r="C443" s="1">
        <v>34796</v>
      </c>
      <c r="D443" t="s">
        <v>1305</v>
      </c>
      <c r="E443" t="s">
        <v>1306</v>
      </c>
      <c r="F443" t="str">
        <f>VLOOKUP(E443,Tabela2[#All],2,FALSE)</f>
        <v>Válvula Nível 3</v>
      </c>
      <c r="G443" t="s">
        <v>1307</v>
      </c>
      <c r="H443" s="1">
        <v>3</v>
      </c>
      <c r="I443" s="1">
        <v>3</v>
      </c>
      <c r="J443" t="s">
        <v>65</v>
      </c>
      <c r="K443" s="1">
        <v>80</v>
      </c>
      <c r="L443" s="1">
        <v>3.2</v>
      </c>
      <c r="M443" s="1">
        <v>14.8</v>
      </c>
      <c r="N443" s="1">
        <v>36446</v>
      </c>
      <c r="O443" t="s">
        <v>119</v>
      </c>
      <c r="P443" t="s">
        <v>67</v>
      </c>
      <c r="Q443" t="s">
        <v>68</v>
      </c>
      <c r="R443" s="1">
        <v>0.25</v>
      </c>
      <c r="S443" t="s">
        <v>50</v>
      </c>
      <c r="T443" s="1">
        <v>108.53993305</v>
      </c>
      <c r="U443" s="1">
        <v>48.980803049999999</v>
      </c>
      <c r="V443" s="1">
        <v>0</v>
      </c>
      <c r="W443" s="1">
        <v>0</v>
      </c>
      <c r="X443" t="s">
        <v>50</v>
      </c>
      <c r="Y443" t="s">
        <v>50</v>
      </c>
      <c r="Z443" t="s">
        <v>50</v>
      </c>
      <c r="AA443" t="s">
        <v>50</v>
      </c>
      <c r="AB443" s="1">
        <v>16.559999999999999</v>
      </c>
      <c r="AC443" t="s">
        <v>50</v>
      </c>
      <c r="AD443" t="s">
        <v>50</v>
      </c>
      <c r="AE443" t="s">
        <v>50</v>
      </c>
      <c r="AF443" t="s">
        <v>50</v>
      </c>
      <c r="AG443" s="1">
        <v>0.3125</v>
      </c>
      <c r="AH443" s="1">
        <v>0.8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s="1">
        <v>7.5</v>
      </c>
      <c r="AO443" t="s">
        <v>50</v>
      </c>
      <c r="AP443" t="s">
        <v>1308</v>
      </c>
      <c r="AQ443" s="1">
        <v>6107</v>
      </c>
      <c r="AR443" t="s">
        <v>70</v>
      </c>
    </row>
    <row r="444" spans="1:44">
      <c r="A444" s="1">
        <v>64480</v>
      </c>
      <c r="B444" s="1">
        <v>32356</v>
      </c>
      <c r="C444" s="1">
        <v>31688</v>
      </c>
      <c r="D444" t="s">
        <v>1309</v>
      </c>
      <c r="E444" t="s">
        <v>1042</v>
      </c>
      <c r="F444" t="str">
        <f>VLOOKUP(E444,Tabela2[#All],2,FALSE)</f>
        <v>Válvula Nível 4</v>
      </c>
      <c r="G444" t="s">
        <v>1043</v>
      </c>
      <c r="H444" s="1">
        <v>1.99</v>
      </c>
      <c r="I444" s="1">
        <v>1.99</v>
      </c>
      <c r="J444" t="s">
        <v>65</v>
      </c>
      <c r="K444" s="1">
        <v>80.960048999999998</v>
      </c>
      <c r="L444" s="1">
        <v>3.3333330000000001</v>
      </c>
      <c r="M444" s="1">
        <v>11.166</v>
      </c>
      <c r="N444" s="1">
        <v>36441</v>
      </c>
      <c r="O444" t="s">
        <v>66</v>
      </c>
      <c r="P444" t="s">
        <v>67</v>
      </c>
      <c r="Q444" t="s">
        <v>68</v>
      </c>
      <c r="R444" s="1">
        <v>1.7000000000000001E-2</v>
      </c>
      <c r="S444" s="1">
        <v>0.22</v>
      </c>
      <c r="T444" s="1">
        <v>63.331074309999998</v>
      </c>
      <c r="U444" s="1">
        <v>28.99703431</v>
      </c>
      <c r="V444" s="1">
        <v>0</v>
      </c>
      <c r="W444" s="1">
        <v>0</v>
      </c>
      <c r="X444" t="s">
        <v>50</v>
      </c>
      <c r="Y444" t="s">
        <v>50</v>
      </c>
      <c r="Z444" t="s">
        <v>50</v>
      </c>
      <c r="AA444" t="s">
        <v>50</v>
      </c>
      <c r="AB444" s="1">
        <v>9.7100000000000009</v>
      </c>
      <c r="AC444" t="s">
        <v>50</v>
      </c>
      <c r="AD444" t="s">
        <v>50</v>
      </c>
      <c r="AE444" t="s">
        <v>50</v>
      </c>
      <c r="AF444" t="s">
        <v>50</v>
      </c>
      <c r="AG444" s="1">
        <v>0.15625</v>
      </c>
      <c r="AH444" s="1">
        <v>0.73329999999999995</v>
      </c>
      <c r="AI444" s="1">
        <v>7.85E-2</v>
      </c>
      <c r="AJ444" t="s">
        <v>50</v>
      </c>
      <c r="AK444" t="s">
        <v>50</v>
      </c>
      <c r="AL444" t="s">
        <v>50</v>
      </c>
      <c r="AM444" t="s">
        <v>50</v>
      </c>
      <c r="AN444" s="1">
        <v>3.27</v>
      </c>
      <c r="AO444" t="s">
        <v>50</v>
      </c>
      <c r="AP444" t="s">
        <v>1044</v>
      </c>
      <c r="AQ444" s="1">
        <v>414</v>
      </c>
      <c r="AR444" t="s">
        <v>70</v>
      </c>
    </row>
    <row r="445" spans="1:44">
      <c r="A445" s="1">
        <v>64657</v>
      </c>
      <c r="B445" s="1">
        <v>32356</v>
      </c>
      <c r="C445" s="1">
        <v>31688</v>
      </c>
      <c r="D445" t="s">
        <v>1310</v>
      </c>
      <c r="E445" t="s">
        <v>1042</v>
      </c>
      <c r="F445" t="str">
        <f>VLOOKUP(E445,Tabela2[#All],2,FALSE)</f>
        <v>Válvula Nível 4</v>
      </c>
      <c r="G445" t="s">
        <v>1043</v>
      </c>
      <c r="H445" s="1">
        <v>1.99</v>
      </c>
      <c r="I445" s="1">
        <v>1.99</v>
      </c>
      <c r="J445" t="s">
        <v>65</v>
      </c>
      <c r="K445" s="1">
        <v>80.960048999999998</v>
      </c>
      <c r="L445" s="1">
        <v>3.3333330000000001</v>
      </c>
      <c r="M445" s="1">
        <v>11.166</v>
      </c>
      <c r="N445" s="1">
        <v>36441</v>
      </c>
      <c r="O445" t="s">
        <v>66</v>
      </c>
      <c r="P445" t="s">
        <v>67</v>
      </c>
      <c r="Q445" t="s">
        <v>68</v>
      </c>
      <c r="R445" s="1">
        <v>1.7000000000000001E-2</v>
      </c>
      <c r="S445" s="1">
        <v>0.22</v>
      </c>
      <c r="T445" s="1">
        <v>58.52285431</v>
      </c>
      <c r="U445" s="1">
        <v>28.99703431</v>
      </c>
      <c r="V445" s="1">
        <v>0</v>
      </c>
      <c r="W445" s="1">
        <v>0</v>
      </c>
      <c r="X445" t="s">
        <v>50</v>
      </c>
      <c r="Y445" t="s">
        <v>50</v>
      </c>
      <c r="Z445" t="s">
        <v>50</v>
      </c>
      <c r="AA445" t="s">
        <v>50</v>
      </c>
      <c r="AB445" s="1">
        <v>7.93</v>
      </c>
      <c r="AC445" t="s">
        <v>50</v>
      </c>
      <c r="AD445" t="s">
        <v>50</v>
      </c>
      <c r="AE445" t="s">
        <v>50</v>
      </c>
      <c r="AF445" t="s">
        <v>50</v>
      </c>
      <c r="AG445" s="1">
        <v>0.15625</v>
      </c>
      <c r="AH445" s="1">
        <v>0.73329999999999995</v>
      </c>
      <c r="AI445" s="1">
        <v>7.85E-2</v>
      </c>
      <c r="AJ445" t="s">
        <v>50</v>
      </c>
      <c r="AK445" t="s">
        <v>50</v>
      </c>
      <c r="AL445" t="s">
        <v>50</v>
      </c>
      <c r="AM445" t="s">
        <v>50</v>
      </c>
      <c r="AN445" s="1">
        <v>3.27</v>
      </c>
      <c r="AO445" t="s">
        <v>50</v>
      </c>
      <c r="AP445" t="s">
        <v>1044</v>
      </c>
      <c r="AQ445" s="1">
        <v>414</v>
      </c>
      <c r="AR445" t="s">
        <v>70</v>
      </c>
    </row>
    <row r="446" spans="1:44">
      <c r="A446" s="1">
        <v>64479</v>
      </c>
      <c r="B446" s="1">
        <v>32128</v>
      </c>
      <c r="C446" s="1">
        <v>31455</v>
      </c>
      <c r="D446" t="s">
        <v>1311</v>
      </c>
      <c r="E446" t="s">
        <v>63</v>
      </c>
      <c r="F446" t="str">
        <f>VLOOKUP(E446,Tabela2[#All],2,FALSE)</f>
        <v>Válvula Nível 4</v>
      </c>
      <c r="G446" t="s">
        <v>64</v>
      </c>
      <c r="H446" s="1">
        <v>1.3</v>
      </c>
      <c r="I446" s="1">
        <v>1.3</v>
      </c>
      <c r="J446" t="s">
        <v>65</v>
      </c>
      <c r="K446" s="1">
        <v>69.666667000000004</v>
      </c>
      <c r="L446" s="1">
        <v>3.5</v>
      </c>
      <c r="M446" s="1">
        <v>10.5</v>
      </c>
      <c r="N446" s="1">
        <v>36441</v>
      </c>
      <c r="O446" t="s">
        <v>66</v>
      </c>
      <c r="P446" t="s">
        <v>67</v>
      </c>
      <c r="Q446" t="s">
        <v>68</v>
      </c>
      <c r="R446" s="1">
        <v>1.7000000000000001E-2</v>
      </c>
      <c r="S446" s="1">
        <v>0.32</v>
      </c>
      <c r="T446" s="1">
        <v>55.989847580000003</v>
      </c>
      <c r="U446" s="1">
        <v>23.661307579999999</v>
      </c>
      <c r="V446" s="1">
        <v>0</v>
      </c>
      <c r="W446" s="1">
        <v>0</v>
      </c>
      <c r="X446" t="s">
        <v>50</v>
      </c>
      <c r="Y446" t="s">
        <v>50</v>
      </c>
      <c r="Z446" t="s">
        <v>50</v>
      </c>
      <c r="AA446" t="s">
        <v>50</v>
      </c>
      <c r="AB446" s="1">
        <v>8.75</v>
      </c>
      <c r="AC446" t="s">
        <v>50</v>
      </c>
      <c r="AD446" t="s">
        <v>50</v>
      </c>
      <c r="AE446" t="s">
        <v>50</v>
      </c>
      <c r="AF446" t="s">
        <v>50</v>
      </c>
      <c r="AG446" s="1">
        <v>0.14280000000000001</v>
      </c>
      <c r="AH446" s="1">
        <v>0.434</v>
      </c>
      <c r="AI446" s="1">
        <v>5.7500000000000002E-2</v>
      </c>
      <c r="AJ446" t="s">
        <v>50</v>
      </c>
      <c r="AK446" t="s">
        <v>50</v>
      </c>
      <c r="AL446" t="s">
        <v>50</v>
      </c>
      <c r="AM446" t="s">
        <v>50</v>
      </c>
      <c r="AN446" s="1">
        <v>2.1</v>
      </c>
      <c r="AO446" t="s">
        <v>50</v>
      </c>
      <c r="AP446" t="s">
        <v>69</v>
      </c>
      <c r="AQ446" s="1">
        <v>2206</v>
      </c>
      <c r="AR446" t="s">
        <v>70</v>
      </c>
    </row>
    <row r="447" spans="1:44">
      <c r="A447" s="1">
        <v>64658</v>
      </c>
      <c r="B447" s="1">
        <v>32128</v>
      </c>
      <c r="C447" s="1">
        <v>31455</v>
      </c>
      <c r="D447" t="s">
        <v>1312</v>
      </c>
      <c r="E447" t="s">
        <v>63</v>
      </c>
      <c r="F447" t="str">
        <f>VLOOKUP(E447,Tabela2[#All],2,FALSE)</f>
        <v>Válvula Nível 4</v>
      </c>
      <c r="G447" t="s">
        <v>64</v>
      </c>
      <c r="H447" s="1">
        <v>1.3</v>
      </c>
      <c r="I447" s="1">
        <v>1.3</v>
      </c>
      <c r="J447" t="s">
        <v>65</v>
      </c>
      <c r="K447" s="1">
        <v>69.666667000000004</v>
      </c>
      <c r="L447" s="1">
        <v>3.5</v>
      </c>
      <c r="M447" s="1">
        <v>10.5</v>
      </c>
      <c r="N447" s="1">
        <v>36441</v>
      </c>
      <c r="O447" t="s">
        <v>66</v>
      </c>
      <c r="P447" t="s">
        <v>67</v>
      </c>
      <c r="Q447" t="s">
        <v>68</v>
      </c>
      <c r="R447" s="1">
        <v>1.7000000000000001E-2</v>
      </c>
      <c r="S447" s="1">
        <v>0.32</v>
      </c>
      <c r="T447" s="1">
        <v>54.829727579999997</v>
      </c>
      <c r="U447" s="1">
        <v>23.661307579999999</v>
      </c>
      <c r="V447" s="1">
        <v>0</v>
      </c>
      <c r="W447" s="1">
        <v>0</v>
      </c>
      <c r="X447" t="s">
        <v>50</v>
      </c>
      <c r="Y447" t="s">
        <v>50</v>
      </c>
      <c r="Z447" t="s">
        <v>50</v>
      </c>
      <c r="AA447" t="s">
        <v>50</v>
      </c>
      <c r="AB447" s="1">
        <v>8.6</v>
      </c>
      <c r="AC447" t="s">
        <v>50</v>
      </c>
      <c r="AD447" t="s">
        <v>50</v>
      </c>
      <c r="AE447" t="s">
        <v>50</v>
      </c>
      <c r="AF447" t="s">
        <v>50</v>
      </c>
      <c r="AG447" s="1">
        <v>0.14280000000000001</v>
      </c>
      <c r="AH447" s="1">
        <v>0.434</v>
      </c>
      <c r="AI447" s="1">
        <v>5.7500000000000002E-2</v>
      </c>
      <c r="AJ447" t="s">
        <v>50</v>
      </c>
      <c r="AK447" t="s">
        <v>50</v>
      </c>
      <c r="AL447" t="s">
        <v>50</v>
      </c>
      <c r="AM447" t="s">
        <v>50</v>
      </c>
      <c r="AN447" s="1">
        <v>2.1</v>
      </c>
      <c r="AO447" t="s">
        <v>50</v>
      </c>
      <c r="AP447" t="s">
        <v>69</v>
      </c>
      <c r="AQ447" s="1">
        <v>2206</v>
      </c>
      <c r="AR447" t="s">
        <v>70</v>
      </c>
    </row>
    <row r="448" spans="1:44">
      <c r="A448" s="1">
        <v>65417</v>
      </c>
      <c r="B448" s="1">
        <v>32388</v>
      </c>
      <c r="C448" s="1">
        <v>31721</v>
      </c>
      <c r="D448" t="s">
        <v>1313</v>
      </c>
      <c r="E448" t="s">
        <v>1151</v>
      </c>
      <c r="F448" t="str">
        <f>VLOOKUP(E448,Tabela2[#All],2,FALSE)</f>
        <v>Válvula Nível 3</v>
      </c>
      <c r="G448" t="s">
        <v>1152</v>
      </c>
      <c r="H448" s="1">
        <v>2.653</v>
      </c>
      <c r="I448" s="1">
        <v>2.653</v>
      </c>
      <c r="J448" t="s">
        <v>65</v>
      </c>
      <c r="K448" s="1">
        <v>72</v>
      </c>
      <c r="L448" s="1">
        <v>3.2</v>
      </c>
      <c r="M448" s="1">
        <v>16.399999999999999</v>
      </c>
      <c r="N448" s="1">
        <v>36446</v>
      </c>
      <c r="O448" t="s">
        <v>119</v>
      </c>
      <c r="P448" t="s">
        <v>67</v>
      </c>
      <c r="Q448" t="s">
        <v>68</v>
      </c>
      <c r="R448" s="1">
        <v>0.22</v>
      </c>
      <c r="S448" t="s">
        <v>50</v>
      </c>
      <c r="T448" s="1">
        <v>118.36166423</v>
      </c>
      <c r="U448" s="1">
        <v>44.951174229999999</v>
      </c>
      <c r="V448" s="1">
        <v>0</v>
      </c>
      <c r="W448" s="1">
        <v>0</v>
      </c>
      <c r="X448" t="s">
        <v>50</v>
      </c>
      <c r="Y448" t="s">
        <v>50</v>
      </c>
      <c r="Z448" t="s">
        <v>50</v>
      </c>
      <c r="AA448" t="s">
        <v>50</v>
      </c>
      <c r="AB448" s="1">
        <v>20.92</v>
      </c>
      <c r="AC448" t="s">
        <v>50</v>
      </c>
      <c r="AD448" t="s">
        <v>50</v>
      </c>
      <c r="AE448" t="s">
        <v>50</v>
      </c>
      <c r="AF448" t="s">
        <v>50</v>
      </c>
      <c r="AG448" s="1">
        <v>0.3</v>
      </c>
      <c r="AH448" s="1">
        <v>0.83819999999999995</v>
      </c>
      <c r="AI448" s="1">
        <v>0.1095</v>
      </c>
      <c r="AJ448" t="s">
        <v>50</v>
      </c>
      <c r="AK448" t="s">
        <v>50</v>
      </c>
      <c r="AL448" t="s">
        <v>50</v>
      </c>
      <c r="AM448" t="s">
        <v>50</v>
      </c>
      <c r="AN448" s="1">
        <v>3</v>
      </c>
      <c r="AO448" t="s">
        <v>50</v>
      </c>
      <c r="AP448" t="s">
        <v>1153</v>
      </c>
      <c r="AQ448" s="1">
        <v>3285</v>
      </c>
      <c r="AR448" t="s">
        <v>70</v>
      </c>
    </row>
    <row r="449" spans="1:44">
      <c r="A449" s="1">
        <v>66225</v>
      </c>
      <c r="B449" s="1">
        <v>66221</v>
      </c>
      <c r="C449" s="1">
        <v>60174</v>
      </c>
      <c r="D449" t="s">
        <v>1314</v>
      </c>
      <c r="E449" t="s">
        <v>1286</v>
      </c>
      <c r="F449" t="str">
        <f>VLOOKUP(E449,Tabela2[#All],2,FALSE)</f>
        <v>Válvula Nível 3</v>
      </c>
      <c r="G449" t="s">
        <v>1287</v>
      </c>
      <c r="H449" s="1">
        <v>1.84</v>
      </c>
      <c r="I449" s="1">
        <v>1.84</v>
      </c>
      <c r="J449" t="s">
        <v>65</v>
      </c>
      <c r="K449" s="1">
        <v>73.058824000000001</v>
      </c>
      <c r="L449" s="1">
        <v>4.5</v>
      </c>
      <c r="M449" s="1">
        <v>12.75</v>
      </c>
      <c r="N449" s="1">
        <v>36446</v>
      </c>
      <c r="O449" t="s">
        <v>119</v>
      </c>
      <c r="P449" t="s">
        <v>67</v>
      </c>
      <c r="Q449" t="s">
        <v>68</v>
      </c>
      <c r="R449" t="s">
        <v>50</v>
      </c>
      <c r="S449" t="s">
        <v>50</v>
      </c>
      <c r="T449" s="1">
        <v>42.054743279999997</v>
      </c>
      <c r="U449" s="1">
        <v>18.478664850000001</v>
      </c>
      <c r="V449" s="1">
        <v>0</v>
      </c>
      <c r="W449" s="1">
        <v>0</v>
      </c>
      <c r="X449" t="s">
        <v>50</v>
      </c>
      <c r="Y449" t="s">
        <v>50</v>
      </c>
      <c r="Z449" t="s">
        <v>50</v>
      </c>
      <c r="AA449" t="s">
        <v>50</v>
      </c>
      <c r="AB449" s="1">
        <v>5.92</v>
      </c>
      <c r="AC449" t="s">
        <v>50</v>
      </c>
      <c r="AD449" t="s">
        <v>50</v>
      </c>
      <c r="AE449" t="s">
        <v>50</v>
      </c>
      <c r="AF449" t="s">
        <v>50</v>
      </c>
      <c r="AG449" s="1">
        <v>0.16700000000000001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1288</v>
      </c>
      <c r="AQ449" s="1">
        <v>5367</v>
      </c>
      <c r="AR449" t="s">
        <v>70</v>
      </c>
    </row>
    <row r="450" spans="1:44">
      <c r="A450" s="1">
        <v>66397</v>
      </c>
      <c r="B450" s="1">
        <v>66398</v>
      </c>
      <c r="C450" s="1">
        <v>60350</v>
      </c>
      <c r="D450" t="s">
        <v>1315</v>
      </c>
      <c r="E450" t="s">
        <v>1316</v>
      </c>
      <c r="F450" t="str">
        <f>VLOOKUP(E450,Tabela2[#All],2,FALSE)</f>
        <v>Válvula Nível 3</v>
      </c>
      <c r="G450" t="s">
        <v>1317</v>
      </c>
      <c r="H450" s="1">
        <v>3.8</v>
      </c>
      <c r="I450" s="1">
        <v>3.8</v>
      </c>
      <c r="J450" t="s">
        <v>65</v>
      </c>
      <c r="K450" s="1">
        <v>76.2</v>
      </c>
      <c r="L450" s="1">
        <v>3.2</v>
      </c>
      <c r="M450" s="1">
        <v>16</v>
      </c>
      <c r="N450" s="1">
        <v>36446</v>
      </c>
      <c r="O450" t="s">
        <v>119</v>
      </c>
      <c r="P450" t="s">
        <v>67</v>
      </c>
      <c r="Q450" t="s">
        <v>68</v>
      </c>
      <c r="R450" s="1">
        <v>0.19</v>
      </c>
      <c r="S450" t="s">
        <v>50</v>
      </c>
      <c r="T450" s="1">
        <v>42.237094849999998</v>
      </c>
      <c r="U450" s="1">
        <v>42.237094849999998</v>
      </c>
      <c r="V450" s="1">
        <v>0</v>
      </c>
      <c r="W450" s="1">
        <v>0</v>
      </c>
      <c r="X450" t="s">
        <v>50</v>
      </c>
      <c r="Y450" t="s">
        <v>50</v>
      </c>
      <c r="Z450" t="s">
        <v>50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50</v>
      </c>
      <c r="AG450" s="1">
        <v>0.25</v>
      </c>
      <c r="AH450" s="1">
        <v>0.5</v>
      </c>
      <c r="AI450" s="1">
        <v>5.96E-2</v>
      </c>
      <c r="AJ450" t="s">
        <v>50</v>
      </c>
      <c r="AK450" t="s">
        <v>50</v>
      </c>
      <c r="AL450" t="s">
        <v>50</v>
      </c>
      <c r="AM450" t="s">
        <v>50</v>
      </c>
      <c r="AN450" s="1">
        <v>3</v>
      </c>
      <c r="AO450" t="s">
        <v>50</v>
      </c>
      <c r="AP450" t="s">
        <v>1318</v>
      </c>
      <c r="AQ450" s="1">
        <v>5447</v>
      </c>
      <c r="AR450" t="s">
        <v>70</v>
      </c>
    </row>
    <row r="451" spans="1:44">
      <c r="A451" s="1">
        <v>66746</v>
      </c>
      <c r="B451" s="1">
        <v>66398</v>
      </c>
      <c r="C451" s="1">
        <v>60350</v>
      </c>
      <c r="D451" t="s">
        <v>1319</v>
      </c>
      <c r="E451" t="s">
        <v>1316</v>
      </c>
      <c r="F451" t="str">
        <f>VLOOKUP(E451,Tabela2[#All],2,FALSE)</f>
        <v>Válvula Nível 3</v>
      </c>
      <c r="G451" t="s">
        <v>1317</v>
      </c>
      <c r="H451" s="1">
        <v>3.17</v>
      </c>
      <c r="I451" s="1">
        <v>3.17</v>
      </c>
      <c r="J451" t="s">
        <v>65</v>
      </c>
      <c r="K451" s="1">
        <v>76.2</v>
      </c>
      <c r="L451" s="1">
        <v>3.2</v>
      </c>
      <c r="M451" s="1">
        <v>16</v>
      </c>
      <c r="N451" s="1">
        <v>36446</v>
      </c>
      <c r="O451" t="s">
        <v>119</v>
      </c>
      <c r="P451" t="s">
        <v>67</v>
      </c>
      <c r="Q451" t="s">
        <v>68</v>
      </c>
      <c r="R451" s="1">
        <v>0.19</v>
      </c>
      <c r="S451" t="s">
        <v>50</v>
      </c>
      <c r="T451" s="1">
        <v>107.40250175</v>
      </c>
      <c r="U451" s="1">
        <v>42.237094849999998</v>
      </c>
      <c r="V451" s="1">
        <v>0</v>
      </c>
      <c r="W451" s="1">
        <v>0</v>
      </c>
      <c r="X451" t="s">
        <v>50</v>
      </c>
      <c r="Y451" t="s">
        <v>50</v>
      </c>
      <c r="Z451" t="s">
        <v>50</v>
      </c>
      <c r="AA451" t="s">
        <v>50</v>
      </c>
      <c r="AB451" s="1">
        <v>18.83333</v>
      </c>
      <c r="AC451" t="s">
        <v>50</v>
      </c>
      <c r="AD451" t="s">
        <v>50</v>
      </c>
      <c r="AE451" t="s">
        <v>50</v>
      </c>
      <c r="AF451" t="s">
        <v>50</v>
      </c>
      <c r="AG451" s="1">
        <v>0.25</v>
      </c>
      <c r="AH451" s="1">
        <v>0.5</v>
      </c>
      <c r="AI451" s="1">
        <v>5.96E-2</v>
      </c>
      <c r="AJ451" t="s">
        <v>50</v>
      </c>
      <c r="AK451" t="s">
        <v>50</v>
      </c>
      <c r="AL451" t="s">
        <v>50</v>
      </c>
      <c r="AM451" t="s">
        <v>50</v>
      </c>
      <c r="AN451" s="1">
        <v>3</v>
      </c>
      <c r="AO451" t="s">
        <v>50</v>
      </c>
      <c r="AP451" t="s">
        <v>1318</v>
      </c>
      <c r="AQ451" s="1">
        <v>5447</v>
      </c>
      <c r="AR451" t="s">
        <v>70</v>
      </c>
    </row>
    <row r="452" spans="1:44">
      <c r="A452" s="1">
        <v>66677</v>
      </c>
      <c r="B452" s="1">
        <v>66398</v>
      </c>
      <c r="C452" s="1">
        <v>60350</v>
      </c>
      <c r="D452" t="s">
        <v>1320</v>
      </c>
      <c r="E452" t="s">
        <v>1316</v>
      </c>
      <c r="F452" t="str">
        <f>VLOOKUP(E452,Tabela2[#All],2,FALSE)</f>
        <v>Válvula Nível 3</v>
      </c>
      <c r="G452" t="s">
        <v>1317</v>
      </c>
      <c r="H452" s="1">
        <v>3.11</v>
      </c>
      <c r="I452" s="1">
        <v>3.11</v>
      </c>
      <c r="J452" t="s">
        <v>65</v>
      </c>
      <c r="K452" s="1">
        <v>76.2</v>
      </c>
      <c r="L452" s="1">
        <v>3.2</v>
      </c>
      <c r="M452" s="1">
        <v>16</v>
      </c>
      <c r="N452" s="1">
        <v>36446</v>
      </c>
      <c r="O452" t="s">
        <v>119</v>
      </c>
      <c r="P452" t="s">
        <v>67</v>
      </c>
      <c r="Q452" t="s">
        <v>68</v>
      </c>
      <c r="R452" s="1">
        <v>0.19</v>
      </c>
      <c r="S452" t="s">
        <v>50</v>
      </c>
      <c r="T452" s="1">
        <v>130.12165951</v>
      </c>
      <c r="U452" s="1">
        <v>42.237094849999998</v>
      </c>
      <c r="V452" s="1">
        <v>0</v>
      </c>
      <c r="W452" s="1">
        <v>0</v>
      </c>
      <c r="X452" t="s">
        <v>50</v>
      </c>
      <c r="Y452" t="s">
        <v>50</v>
      </c>
      <c r="Z452" t="s">
        <v>50</v>
      </c>
      <c r="AA452" t="s">
        <v>50</v>
      </c>
      <c r="AB452" s="1">
        <v>25.66</v>
      </c>
      <c r="AC452" t="s">
        <v>50</v>
      </c>
      <c r="AD452" t="s">
        <v>50</v>
      </c>
      <c r="AE452" t="s">
        <v>50</v>
      </c>
      <c r="AF452" t="s">
        <v>50</v>
      </c>
      <c r="AG452" s="1">
        <v>0.25</v>
      </c>
      <c r="AH452" s="1">
        <v>0.5</v>
      </c>
      <c r="AI452" s="1">
        <v>5.96E-2</v>
      </c>
      <c r="AJ452" t="s">
        <v>50</v>
      </c>
      <c r="AK452" t="s">
        <v>50</v>
      </c>
      <c r="AL452" t="s">
        <v>50</v>
      </c>
      <c r="AM452" t="s">
        <v>50</v>
      </c>
      <c r="AN452" s="1">
        <v>3</v>
      </c>
      <c r="AO452" t="s">
        <v>50</v>
      </c>
      <c r="AP452" t="s">
        <v>1318</v>
      </c>
      <c r="AQ452" s="1">
        <v>5447</v>
      </c>
      <c r="AR452" t="s">
        <v>70</v>
      </c>
    </row>
    <row r="453" spans="1:44">
      <c r="A453" s="1">
        <v>66748</v>
      </c>
      <c r="B453" s="1">
        <v>66398</v>
      </c>
      <c r="C453" s="1">
        <v>60350</v>
      </c>
      <c r="D453" t="s">
        <v>1321</v>
      </c>
      <c r="E453" t="s">
        <v>1316</v>
      </c>
      <c r="F453" t="str">
        <f>VLOOKUP(E453,Tabela2[#All],2,FALSE)</f>
        <v>Válvula Nível 3</v>
      </c>
      <c r="G453" t="s">
        <v>1317</v>
      </c>
      <c r="H453" s="1">
        <v>3.11</v>
      </c>
      <c r="I453" s="1">
        <v>3.11</v>
      </c>
      <c r="J453" t="s">
        <v>65</v>
      </c>
      <c r="K453" s="1">
        <v>76.2</v>
      </c>
      <c r="L453" s="1">
        <v>3.2</v>
      </c>
      <c r="M453" s="1">
        <v>16</v>
      </c>
      <c r="N453" s="1">
        <v>36446</v>
      </c>
      <c r="O453" t="s">
        <v>119</v>
      </c>
      <c r="P453" t="s">
        <v>67</v>
      </c>
      <c r="Q453" t="s">
        <v>68</v>
      </c>
      <c r="R453" s="1">
        <v>0.19</v>
      </c>
      <c r="S453" t="s">
        <v>50</v>
      </c>
      <c r="T453" s="1">
        <v>131.53040190999999</v>
      </c>
      <c r="U453" s="1">
        <v>42.237094849999998</v>
      </c>
      <c r="V453" s="1">
        <v>0</v>
      </c>
      <c r="W453" s="1">
        <v>0</v>
      </c>
      <c r="X453" t="s">
        <v>50</v>
      </c>
      <c r="Y453" t="s">
        <v>50</v>
      </c>
      <c r="Z453" t="s">
        <v>50</v>
      </c>
      <c r="AA453" t="s">
        <v>50</v>
      </c>
      <c r="AB453" s="1">
        <v>26.083300000000001</v>
      </c>
      <c r="AC453" t="s">
        <v>50</v>
      </c>
      <c r="AD453" t="s">
        <v>50</v>
      </c>
      <c r="AE453" t="s">
        <v>50</v>
      </c>
      <c r="AF453" t="s">
        <v>50</v>
      </c>
      <c r="AG453" s="1">
        <v>0.25</v>
      </c>
      <c r="AH453" s="1">
        <v>0.5</v>
      </c>
      <c r="AI453" s="1">
        <v>5.96E-2</v>
      </c>
      <c r="AJ453" t="s">
        <v>50</v>
      </c>
      <c r="AK453" t="s">
        <v>50</v>
      </c>
      <c r="AL453" t="s">
        <v>50</v>
      </c>
      <c r="AM453" t="s">
        <v>50</v>
      </c>
      <c r="AN453" s="1">
        <v>3</v>
      </c>
      <c r="AO453" t="s">
        <v>50</v>
      </c>
      <c r="AP453" t="s">
        <v>1318</v>
      </c>
      <c r="AQ453" s="1">
        <v>5447</v>
      </c>
      <c r="AR453" t="s">
        <v>70</v>
      </c>
    </row>
    <row r="454" spans="1:44">
      <c r="A454" s="1">
        <v>66749</v>
      </c>
      <c r="B454" s="1">
        <v>66398</v>
      </c>
      <c r="C454" s="1">
        <v>60350</v>
      </c>
      <c r="D454" t="s">
        <v>1322</v>
      </c>
      <c r="E454" t="s">
        <v>1316</v>
      </c>
      <c r="F454" t="str">
        <f>VLOOKUP(E454,Tabela2[#All],2,FALSE)</f>
        <v>Válvula Nível 3</v>
      </c>
      <c r="G454" t="s">
        <v>1317</v>
      </c>
      <c r="H454" s="1">
        <v>3.11</v>
      </c>
      <c r="I454" s="1">
        <v>3.11</v>
      </c>
      <c r="J454" t="s">
        <v>65</v>
      </c>
      <c r="K454" s="1">
        <v>76.2</v>
      </c>
      <c r="L454" s="1">
        <v>3.2</v>
      </c>
      <c r="M454" s="1">
        <v>16</v>
      </c>
      <c r="N454" s="1">
        <v>36446</v>
      </c>
      <c r="O454" t="s">
        <v>119</v>
      </c>
      <c r="P454" t="s">
        <v>67</v>
      </c>
      <c r="Q454" t="s">
        <v>68</v>
      </c>
      <c r="R454" s="1">
        <v>0.19</v>
      </c>
      <c r="S454" t="s">
        <v>50</v>
      </c>
      <c r="T454" s="1">
        <v>139.29735951000001</v>
      </c>
      <c r="U454" s="1">
        <v>42.237094849999998</v>
      </c>
      <c r="V454" s="1">
        <v>0</v>
      </c>
      <c r="W454" s="1">
        <v>0</v>
      </c>
      <c r="X454" t="s">
        <v>50</v>
      </c>
      <c r="Y454" t="s">
        <v>50</v>
      </c>
      <c r="Z454" t="s">
        <v>50</v>
      </c>
      <c r="AA454" t="s">
        <v>50</v>
      </c>
      <c r="AB454" s="1">
        <v>27.332999999999998</v>
      </c>
      <c r="AC454" t="s">
        <v>50</v>
      </c>
      <c r="AD454" t="s">
        <v>50</v>
      </c>
      <c r="AE454" t="s">
        <v>50</v>
      </c>
      <c r="AF454" t="s">
        <v>50</v>
      </c>
      <c r="AG454" s="1">
        <v>0.25</v>
      </c>
      <c r="AH454" s="1">
        <v>0.5</v>
      </c>
      <c r="AI454" s="1">
        <v>5.96E-2</v>
      </c>
      <c r="AJ454" t="s">
        <v>50</v>
      </c>
      <c r="AK454" t="s">
        <v>50</v>
      </c>
      <c r="AL454" t="s">
        <v>50</v>
      </c>
      <c r="AM454" t="s">
        <v>50</v>
      </c>
      <c r="AN454" s="1">
        <v>3</v>
      </c>
      <c r="AO454" t="s">
        <v>50</v>
      </c>
      <c r="AP454" t="s">
        <v>1318</v>
      </c>
      <c r="AQ454" s="1">
        <v>5447</v>
      </c>
      <c r="AR454" t="s">
        <v>70</v>
      </c>
    </row>
    <row r="455" spans="1:44">
      <c r="A455" s="1">
        <v>66747</v>
      </c>
      <c r="B455" s="1">
        <v>66398</v>
      </c>
      <c r="C455" s="1">
        <v>60350</v>
      </c>
      <c r="D455" t="s">
        <v>1323</v>
      </c>
      <c r="E455" t="s">
        <v>1316</v>
      </c>
      <c r="F455" t="str">
        <f>VLOOKUP(E455,Tabela2[#All],2,FALSE)</f>
        <v>Válvula Nível 3</v>
      </c>
      <c r="G455" t="s">
        <v>1317</v>
      </c>
      <c r="H455" s="1">
        <v>3.17</v>
      </c>
      <c r="I455" s="1">
        <v>3.17</v>
      </c>
      <c r="J455" t="s">
        <v>65</v>
      </c>
      <c r="K455" s="1">
        <v>76.2</v>
      </c>
      <c r="L455" s="1">
        <v>3.2</v>
      </c>
      <c r="M455" s="1">
        <v>16</v>
      </c>
      <c r="N455" s="1">
        <v>36446</v>
      </c>
      <c r="O455" t="s">
        <v>119</v>
      </c>
      <c r="P455" t="s">
        <v>67</v>
      </c>
      <c r="Q455" t="s">
        <v>68</v>
      </c>
      <c r="R455" s="1">
        <v>0.19</v>
      </c>
      <c r="S455" t="s">
        <v>50</v>
      </c>
      <c r="T455" s="1">
        <v>113.92517951000001</v>
      </c>
      <c r="U455" s="1">
        <v>42.237094849999998</v>
      </c>
      <c r="V455" s="1">
        <v>0</v>
      </c>
      <c r="W455" s="1">
        <v>0</v>
      </c>
      <c r="X455" t="s">
        <v>50</v>
      </c>
      <c r="Y455" t="s">
        <v>50</v>
      </c>
      <c r="Z455" t="s">
        <v>50</v>
      </c>
      <c r="AA455" t="s">
        <v>50</v>
      </c>
      <c r="AB455" s="1">
        <v>20</v>
      </c>
      <c r="AC455" t="s">
        <v>50</v>
      </c>
      <c r="AD455" t="s">
        <v>50</v>
      </c>
      <c r="AE455" t="s">
        <v>50</v>
      </c>
      <c r="AF455" t="s">
        <v>50</v>
      </c>
      <c r="AG455" s="1">
        <v>0.25</v>
      </c>
      <c r="AH455" s="1">
        <v>0.5</v>
      </c>
      <c r="AI455" s="1">
        <v>5.96E-2</v>
      </c>
      <c r="AJ455" t="s">
        <v>50</v>
      </c>
      <c r="AK455" t="s">
        <v>50</v>
      </c>
      <c r="AL455" t="s">
        <v>50</v>
      </c>
      <c r="AM455" t="s">
        <v>50</v>
      </c>
      <c r="AN455" s="1">
        <v>3</v>
      </c>
      <c r="AO455" t="s">
        <v>50</v>
      </c>
      <c r="AP455" t="s">
        <v>1318</v>
      </c>
      <c r="AQ455" s="1">
        <v>5447</v>
      </c>
      <c r="AR455" t="s">
        <v>70</v>
      </c>
    </row>
    <row r="456" spans="1:44">
      <c r="A456" s="1">
        <v>66399</v>
      </c>
      <c r="B456" s="1">
        <v>66398</v>
      </c>
      <c r="C456" s="1">
        <v>60350</v>
      </c>
      <c r="D456" t="s">
        <v>1324</v>
      </c>
      <c r="E456" t="s">
        <v>1316</v>
      </c>
      <c r="F456" t="str">
        <f>VLOOKUP(E456,Tabela2[#All],2,FALSE)</f>
        <v>Válvula Nível 3</v>
      </c>
      <c r="G456" t="s">
        <v>1317</v>
      </c>
      <c r="H456" s="1">
        <v>3.11</v>
      </c>
      <c r="I456" s="1">
        <v>3.11</v>
      </c>
      <c r="J456" t="s">
        <v>65</v>
      </c>
      <c r="K456" s="1">
        <v>76.2</v>
      </c>
      <c r="L456" s="1">
        <v>3.2</v>
      </c>
      <c r="M456" s="1">
        <v>16</v>
      </c>
      <c r="N456" s="1">
        <v>36446</v>
      </c>
      <c r="O456" t="s">
        <v>119</v>
      </c>
      <c r="P456" t="s">
        <v>67</v>
      </c>
      <c r="Q456" t="s">
        <v>68</v>
      </c>
      <c r="R456" s="1">
        <v>0.19</v>
      </c>
      <c r="S456" t="s">
        <v>50</v>
      </c>
      <c r="T456" s="1">
        <v>130.12165951</v>
      </c>
      <c r="U456" s="1">
        <v>42.237094849999998</v>
      </c>
      <c r="V456" s="1">
        <v>0</v>
      </c>
      <c r="W456" s="1">
        <v>0</v>
      </c>
      <c r="X456" t="s">
        <v>50</v>
      </c>
      <c r="Y456" t="s">
        <v>50</v>
      </c>
      <c r="Z456" t="s">
        <v>50</v>
      </c>
      <c r="AA456" t="s">
        <v>50</v>
      </c>
      <c r="AB456" s="1">
        <v>25.66</v>
      </c>
      <c r="AC456" t="s">
        <v>50</v>
      </c>
      <c r="AD456" t="s">
        <v>50</v>
      </c>
      <c r="AE456" t="s">
        <v>50</v>
      </c>
      <c r="AF456" t="s">
        <v>50</v>
      </c>
      <c r="AG456" s="1">
        <v>0.25</v>
      </c>
      <c r="AH456" s="1">
        <v>0.5</v>
      </c>
      <c r="AI456" s="1">
        <v>5.96E-2</v>
      </c>
      <c r="AJ456" t="s">
        <v>50</v>
      </c>
      <c r="AK456" t="s">
        <v>50</v>
      </c>
      <c r="AL456" t="s">
        <v>50</v>
      </c>
      <c r="AM456" t="s">
        <v>50</v>
      </c>
      <c r="AN456" s="1">
        <v>3</v>
      </c>
      <c r="AO456" t="s">
        <v>50</v>
      </c>
      <c r="AP456" t="s">
        <v>1318</v>
      </c>
      <c r="AQ456" s="1">
        <v>5447</v>
      </c>
      <c r="AR456" t="s">
        <v>70</v>
      </c>
    </row>
    <row r="457" spans="1:44">
      <c r="A457" s="1">
        <v>77063</v>
      </c>
      <c r="B457" s="1">
        <v>77061</v>
      </c>
      <c r="C457" s="1">
        <v>69631</v>
      </c>
      <c r="D457" t="s">
        <v>1325</v>
      </c>
      <c r="E457" t="s">
        <v>1218</v>
      </c>
      <c r="F457" t="str">
        <f>VLOOKUP(E457,Tabela2[#All],2,FALSE)</f>
        <v>Válvula Nível 3</v>
      </c>
      <c r="G457" t="s">
        <v>1219</v>
      </c>
      <c r="H457" s="1">
        <v>3.15</v>
      </c>
      <c r="I457" s="1">
        <v>3.15</v>
      </c>
      <c r="J457" t="s">
        <v>65</v>
      </c>
      <c r="K457" s="1">
        <v>68.693332999999996</v>
      </c>
      <c r="L457" s="1">
        <v>3.2</v>
      </c>
      <c r="M457" s="1">
        <v>15</v>
      </c>
      <c r="N457" s="1">
        <v>89565</v>
      </c>
      <c r="O457" t="s">
        <v>195</v>
      </c>
      <c r="P457" t="s">
        <v>67</v>
      </c>
      <c r="Q457" t="s">
        <v>68</v>
      </c>
      <c r="R457" s="1">
        <v>0.28000000000000003</v>
      </c>
      <c r="S457" t="s">
        <v>50</v>
      </c>
      <c r="T457" s="1">
        <v>39.668706700000001</v>
      </c>
      <c r="U457" s="1">
        <v>39.668706700000001</v>
      </c>
      <c r="V457" s="1">
        <v>0</v>
      </c>
      <c r="W457" s="1">
        <v>0</v>
      </c>
      <c r="X457" t="s">
        <v>50</v>
      </c>
      <c r="Y457" t="s">
        <v>50</v>
      </c>
      <c r="Z457" t="s">
        <v>50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s="1">
        <v>0.25</v>
      </c>
      <c r="AH457" s="1">
        <v>0.56000000000000005</v>
      </c>
      <c r="AI457" s="1">
        <v>0.128</v>
      </c>
      <c r="AJ457" t="s">
        <v>50</v>
      </c>
      <c r="AK457" t="s">
        <v>50</v>
      </c>
      <c r="AL457" t="s">
        <v>50</v>
      </c>
      <c r="AM457" t="s">
        <v>50</v>
      </c>
      <c r="AN457" s="1">
        <v>3</v>
      </c>
      <c r="AO457" t="s">
        <v>50</v>
      </c>
      <c r="AP457" t="s">
        <v>1220</v>
      </c>
      <c r="AQ457" s="1">
        <v>7527</v>
      </c>
      <c r="AR457" t="s">
        <v>70</v>
      </c>
    </row>
    <row r="458" spans="1:44">
      <c r="A458" s="1">
        <v>77124</v>
      </c>
      <c r="B458" s="1">
        <v>77061</v>
      </c>
      <c r="C458" s="1">
        <v>69631</v>
      </c>
      <c r="D458" t="s">
        <v>1327</v>
      </c>
      <c r="E458" t="s">
        <v>1218</v>
      </c>
      <c r="F458" t="str">
        <f>VLOOKUP(E458,Tabela2[#All],2,FALSE)</f>
        <v>Válvula Nível 3</v>
      </c>
      <c r="G458" t="s">
        <v>1219</v>
      </c>
      <c r="H458" s="1">
        <v>2.61</v>
      </c>
      <c r="I458" s="1">
        <v>2.61</v>
      </c>
      <c r="J458" t="s">
        <v>65</v>
      </c>
      <c r="K458" s="1">
        <v>68.693332999999996</v>
      </c>
      <c r="L458" s="1">
        <v>3.2</v>
      </c>
      <c r="M458" s="1">
        <v>15</v>
      </c>
      <c r="N458" s="1">
        <v>89565</v>
      </c>
      <c r="O458" t="s">
        <v>195</v>
      </c>
      <c r="P458" t="s">
        <v>67</v>
      </c>
      <c r="Q458" t="s">
        <v>68</v>
      </c>
      <c r="R458" s="1">
        <v>0.28000000000000003</v>
      </c>
      <c r="S458" t="s">
        <v>50</v>
      </c>
      <c r="T458" s="1">
        <v>124.8560507</v>
      </c>
      <c r="U458" s="1">
        <v>39.668706700000001</v>
      </c>
      <c r="V458" s="1">
        <v>0</v>
      </c>
      <c r="W458" s="1">
        <v>0</v>
      </c>
      <c r="X458" t="s">
        <v>50</v>
      </c>
      <c r="Y458" t="s">
        <v>50</v>
      </c>
      <c r="Z458" t="s">
        <v>50</v>
      </c>
      <c r="AA458" t="s">
        <v>50</v>
      </c>
      <c r="AB458" s="1">
        <v>23</v>
      </c>
      <c r="AC458" t="s">
        <v>50</v>
      </c>
      <c r="AD458" t="s">
        <v>50</v>
      </c>
      <c r="AE458" t="s">
        <v>50</v>
      </c>
      <c r="AF458" t="s">
        <v>50</v>
      </c>
      <c r="AG458" s="1">
        <v>0.25</v>
      </c>
      <c r="AH458" s="1">
        <v>0.56000000000000005</v>
      </c>
      <c r="AI458" s="1">
        <v>0.128</v>
      </c>
      <c r="AJ458" t="s">
        <v>50</v>
      </c>
      <c r="AK458" t="s">
        <v>50</v>
      </c>
      <c r="AL458" t="s">
        <v>50</v>
      </c>
      <c r="AM458" t="s">
        <v>50</v>
      </c>
      <c r="AN458" s="1">
        <v>3</v>
      </c>
      <c r="AO458" t="s">
        <v>50</v>
      </c>
      <c r="AP458" t="s">
        <v>1220</v>
      </c>
      <c r="AQ458" s="1">
        <v>7527</v>
      </c>
      <c r="AR458" t="s">
        <v>70</v>
      </c>
    </row>
    <row r="459" spans="1:44">
      <c r="A459" s="1">
        <v>77037</v>
      </c>
      <c r="B459" s="1">
        <v>32373</v>
      </c>
      <c r="C459" s="1">
        <v>31706</v>
      </c>
      <c r="D459" t="s">
        <v>1328</v>
      </c>
      <c r="E459" t="s">
        <v>1050</v>
      </c>
      <c r="F459" t="str">
        <f>VLOOKUP(E459,Tabela2[#All],2,FALSE)</f>
        <v>Válvula Nível 4</v>
      </c>
      <c r="G459" t="s">
        <v>450</v>
      </c>
      <c r="H459" s="1">
        <v>2.68</v>
      </c>
      <c r="I459" s="1">
        <v>2.68</v>
      </c>
      <c r="J459" t="s">
        <v>65</v>
      </c>
      <c r="K459" s="1">
        <v>78.289654999999996</v>
      </c>
      <c r="L459" s="1">
        <v>3.3</v>
      </c>
      <c r="M459" s="1">
        <v>14.5</v>
      </c>
      <c r="N459" s="1">
        <v>36441</v>
      </c>
      <c r="O459" t="s">
        <v>66</v>
      </c>
      <c r="P459" t="s">
        <v>67</v>
      </c>
      <c r="Q459" t="s">
        <v>68</v>
      </c>
      <c r="R459" s="1">
        <v>0.05</v>
      </c>
      <c r="S459" s="1">
        <v>0.37</v>
      </c>
      <c r="T459" s="1">
        <v>64.831660339999999</v>
      </c>
      <c r="U459" s="1">
        <v>33.203316340000001</v>
      </c>
      <c r="V459" s="1">
        <v>0</v>
      </c>
      <c r="W459" s="1">
        <v>0</v>
      </c>
      <c r="X459" t="s">
        <v>50</v>
      </c>
      <c r="Y459" t="s">
        <v>50</v>
      </c>
      <c r="Z459" t="s">
        <v>50</v>
      </c>
      <c r="AA459" t="s">
        <v>50</v>
      </c>
      <c r="AB459" s="1">
        <v>11</v>
      </c>
      <c r="AC459" t="s">
        <v>50</v>
      </c>
      <c r="AD459" t="s">
        <v>50</v>
      </c>
      <c r="AE459" t="s">
        <v>50</v>
      </c>
      <c r="AF459" t="s">
        <v>50</v>
      </c>
      <c r="AG459" s="1">
        <v>5.3999999999999999E-2</v>
      </c>
      <c r="AH459" s="1">
        <v>0.66659999999999997</v>
      </c>
      <c r="AI459" s="1">
        <v>8.8400000000000006E-2</v>
      </c>
      <c r="AJ459" t="s">
        <v>50</v>
      </c>
      <c r="AK459" t="s">
        <v>50</v>
      </c>
      <c r="AL459" t="s">
        <v>50</v>
      </c>
      <c r="AM459" t="s">
        <v>50</v>
      </c>
      <c r="AN459" s="1">
        <v>3</v>
      </c>
      <c r="AO459" t="s">
        <v>50</v>
      </c>
      <c r="AP459" t="s">
        <v>1051</v>
      </c>
      <c r="AQ459" s="1">
        <v>1938</v>
      </c>
      <c r="AR459" t="s">
        <v>70</v>
      </c>
    </row>
    <row r="460" spans="1:44">
      <c r="A460" s="1">
        <v>89471</v>
      </c>
      <c r="B460" s="1">
        <v>41260</v>
      </c>
      <c r="C460" s="1">
        <v>34777</v>
      </c>
      <c r="D460" t="s">
        <v>1329</v>
      </c>
      <c r="E460" t="s">
        <v>1178</v>
      </c>
      <c r="F460" t="str">
        <f>VLOOKUP(E460,Tabela2[#All],2,FALSE)</f>
        <v>HIDRÁULICO MACIÇO</v>
      </c>
      <c r="G460" t="s">
        <v>1179</v>
      </c>
      <c r="H460" s="1">
        <v>0.66</v>
      </c>
      <c r="I460" s="1">
        <v>0.66</v>
      </c>
      <c r="J460" t="s">
        <v>46</v>
      </c>
      <c r="K460" s="1">
        <v>47.416106999999997</v>
      </c>
      <c r="L460" s="1">
        <v>9</v>
      </c>
      <c r="M460" s="1">
        <v>14.9</v>
      </c>
      <c r="N460" s="1">
        <v>32958</v>
      </c>
      <c r="O460" t="s">
        <v>81</v>
      </c>
      <c r="P460" t="s">
        <v>67</v>
      </c>
      <c r="Q460" t="s">
        <v>68</v>
      </c>
      <c r="R460" t="s">
        <v>50</v>
      </c>
      <c r="S460" t="s">
        <v>50</v>
      </c>
      <c r="T460" s="1">
        <v>27.259035999999998</v>
      </c>
      <c r="U460" s="1">
        <v>6.4640888299999997</v>
      </c>
      <c r="V460" s="1">
        <v>0</v>
      </c>
      <c r="W460" s="1">
        <v>0</v>
      </c>
      <c r="X460" t="s">
        <v>50</v>
      </c>
      <c r="Y460" t="s">
        <v>50</v>
      </c>
      <c r="Z460" t="s">
        <v>50</v>
      </c>
      <c r="AA460" t="s">
        <v>50</v>
      </c>
      <c r="AB460" s="1">
        <v>6.15</v>
      </c>
      <c r="AC460" t="s">
        <v>50</v>
      </c>
      <c r="AD460" t="s">
        <v>50</v>
      </c>
      <c r="AE460" t="s">
        <v>50</v>
      </c>
      <c r="AF460" s="1">
        <v>8.8886999999999994E-2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t="s">
        <v>1178</v>
      </c>
      <c r="AQ460" s="1">
        <v>1321</v>
      </c>
      <c r="AR460" t="s">
        <v>51</v>
      </c>
    </row>
    <row r="461" spans="1:44">
      <c r="A461" s="1">
        <v>77924</v>
      </c>
      <c r="B461" s="1">
        <v>32374</v>
      </c>
      <c r="C461" s="1">
        <v>31707</v>
      </c>
      <c r="D461" t="s">
        <v>1330</v>
      </c>
      <c r="E461" t="s">
        <v>1046</v>
      </c>
      <c r="F461" t="str">
        <f>VLOOKUP(E461,Tabela2[#All],2,FALSE)</f>
        <v>Válvula Nível 3</v>
      </c>
      <c r="G461" t="s">
        <v>1047</v>
      </c>
      <c r="H461" s="1">
        <v>2.0499999999999998</v>
      </c>
      <c r="I461" s="1">
        <v>2.0499999999999998</v>
      </c>
      <c r="J461" t="s">
        <v>65</v>
      </c>
      <c r="K461" s="1">
        <v>78.260862000000003</v>
      </c>
      <c r="L461" s="1">
        <v>3.3333330000000001</v>
      </c>
      <c r="M461" s="1">
        <v>11.5</v>
      </c>
      <c r="N461" s="1">
        <v>36441</v>
      </c>
      <c r="O461" t="s">
        <v>66</v>
      </c>
      <c r="P461" t="s">
        <v>67</v>
      </c>
      <c r="Q461" t="s">
        <v>68</v>
      </c>
      <c r="R461" s="1">
        <v>0.28699999999999998</v>
      </c>
      <c r="S461" t="s">
        <v>50</v>
      </c>
      <c r="T461" s="1">
        <v>78.021335590000007</v>
      </c>
      <c r="U461" s="1">
        <v>34.386695590000002</v>
      </c>
      <c r="V461" s="1">
        <v>0</v>
      </c>
      <c r="W461" s="1">
        <v>0</v>
      </c>
      <c r="X461" t="s">
        <v>50</v>
      </c>
      <c r="Y461" t="s">
        <v>50</v>
      </c>
      <c r="Z461" t="s">
        <v>50</v>
      </c>
      <c r="AA461" t="s">
        <v>50</v>
      </c>
      <c r="AB461" s="1">
        <v>12.33</v>
      </c>
      <c r="AC461" t="s">
        <v>50</v>
      </c>
      <c r="AD461" t="s">
        <v>50</v>
      </c>
      <c r="AE461" t="s">
        <v>50</v>
      </c>
      <c r="AF461" t="s">
        <v>50</v>
      </c>
      <c r="AG461" s="1">
        <v>0.15625</v>
      </c>
      <c r="AH461" s="1">
        <v>0.4</v>
      </c>
      <c r="AI461" s="1">
        <v>7.6600000000000001E-2</v>
      </c>
      <c r="AJ461" t="s">
        <v>50</v>
      </c>
      <c r="AK461" t="s">
        <v>50</v>
      </c>
      <c r="AL461" t="s">
        <v>50</v>
      </c>
      <c r="AM461" t="s">
        <v>50</v>
      </c>
      <c r="AN461" s="1">
        <v>2.76</v>
      </c>
      <c r="AO461" t="s">
        <v>50</v>
      </c>
      <c r="AP461" t="s">
        <v>1048</v>
      </c>
      <c r="AQ461" s="1">
        <v>1937</v>
      </c>
      <c r="AR461" t="s">
        <v>70</v>
      </c>
    </row>
    <row r="462" spans="1:44">
      <c r="A462" s="1">
        <v>77944</v>
      </c>
      <c r="B462" s="1">
        <v>32374</v>
      </c>
      <c r="C462" s="1">
        <v>31707</v>
      </c>
      <c r="D462" t="s">
        <v>1331</v>
      </c>
      <c r="E462" t="s">
        <v>1046</v>
      </c>
      <c r="F462" t="str">
        <f>VLOOKUP(E462,Tabela2[#All],2,FALSE)</f>
        <v>Válvula Nível 3</v>
      </c>
      <c r="G462" t="s">
        <v>1047</v>
      </c>
      <c r="H462" s="1">
        <v>2.06</v>
      </c>
      <c r="I462" s="1">
        <v>2.06</v>
      </c>
      <c r="J462" t="s">
        <v>65</v>
      </c>
      <c r="K462" s="1">
        <v>78.260862000000003</v>
      </c>
      <c r="L462" s="1">
        <v>3.3333330000000001</v>
      </c>
      <c r="M462" s="1">
        <v>11.5</v>
      </c>
      <c r="N462" s="1">
        <v>36441</v>
      </c>
      <c r="O462" t="s">
        <v>66</v>
      </c>
      <c r="P462" t="s">
        <v>67</v>
      </c>
      <c r="Q462" t="s">
        <v>68</v>
      </c>
      <c r="R462" s="1">
        <v>0.28699999999999998</v>
      </c>
      <c r="S462" t="s">
        <v>50</v>
      </c>
      <c r="T462" s="1">
        <v>85.564135590000006</v>
      </c>
      <c r="U462" s="1">
        <v>34.386695590000002</v>
      </c>
      <c r="V462" s="1">
        <v>0</v>
      </c>
      <c r="W462" s="1">
        <v>0</v>
      </c>
      <c r="X462" t="s">
        <v>50</v>
      </c>
      <c r="Y462" t="s">
        <v>50</v>
      </c>
      <c r="Z462" t="s">
        <v>50</v>
      </c>
      <c r="AA462" t="s">
        <v>50</v>
      </c>
      <c r="AB462" s="1">
        <v>14.51</v>
      </c>
      <c r="AC462" t="s">
        <v>50</v>
      </c>
      <c r="AD462" t="s">
        <v>50</v>
      </c>
      <c r="AE462" t="s">
        <v>50</v>
      </c>
      <c r="AF462" t="s">
        <v>50</v>
      </c>
      <c r="AG462" s="1">
        <v>0.15625</v>
      </c>
      <c r="AH462" s="1">
        <v>0.4</v>
      </c>
      <c r="AI462" s="1">
        <v>7.6600000000000001E-2</v>
      </c>
      <c r="AJ462" t="s">
        <v>50</v>
      </c>
      <c r="AK462" t="s">
        <v>50</v>
      </c>
      <c r="AL462" t="s">
        <v>50</v>
      </c>
      <c r="AM462" t="s">
        <v>50</v>
      </c>
      <c r="AN462" s="1">
        <v>2.76</v>
      </c>
      <c r="AO462" t="s">
        <v>50</v>
      </c>
      <c r="AP462" t="s">
        <v>1048</v>
      </c>
      <c r="AQ462" s="1">
        <v>1937</v>
      </c>
      <c r="AR462" t="s">
        <v>70</v>
      </c>
    </row>
    <row r="463" spans="1:44">
      <c r="A463" s="1">
        <v>85187</v>
      </c>
      <c r="B463" s="1">
        <v>85184</v>
      </c>
      <c r="C463" s="1">
        <v>77473</v>
      </c>
      <c r="D463" t="s">
        <v>1332</v>
      </c>
      <c r="E463" t="s">
        <v>1333</v>
      </c>
      <c r="F463" t="str">
        <f>VLOOKUP(E463,Tabela2[#All],2,FALSE)</f>
        <v>Válvula Nível 4</v>
      </c>
      <c r="G463" t="s">
        <v>1334</v>
      </c>
      <c r="H463" s="1">
        <v>1.68</v>
      </c>
      <c r="I463" s="1">
        <v>1.68</v>
      </c>
      <c r="J463" t="s">
        <v>65</v>
      </c>
      <c r="K463" s="1">
        <v>65.385551000000007</v>
      </c>
      <c r="L463" s="1">
        <v>4.8</v>
      </c>
      <c r="M463" s="1">
        <v>12.333</v>
      </c>
      <c r="N463" s="1">
        <v>36441</v>
      </c>
      <c r="O463" t="s">
        <v>66</v>
      </c>
      <c r="P463" t="s">
        <v>67</v>
      </c>
      <c r="Q463" t="s">
        <v>68</v>
      </c>
      <c r="R463" t="s">
        <v>50</v>
      </c>
      <c r="S463" s="1">
        <v>8.4000000000000005E-2</v>
      </c>
      <c r="T463" s="1">
        <v>24.113130900000002</v>
      </c>
      <c r="U463" s="1">
        <v>24.113130900000002</v>
      </c>
      <c r="V463" s="1">
        <v>0</v>
      </c>
      <c r="W463" s="1">
        <v>0</v>
      </c>
      <c r="X463" t="s">
        <v>50</v>
      </c>
      <c r="Y463" t="s">
        <v>50</v>
      </c>
      <c r="Z463" t="s">
        <v>50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s="1">
        <v>0.13300000000000001</v>
      </c>
      <c r="AH463" s="1">
        <v>0.92</v>
      </c>
      <c r="AI463" t="s">
        <v>50</v>
      </c>
      <c r="AJ463" t="s">
        <v>50</v>
      </c>
      <c r="AK463" t="s">
        <v>50</v>
      </c>
      <c r="AL463" t="s">
        <v>50</v>
      </c>
      <c r="AM463" t="s">
        <v>50</v>
      </c>
      <c r="AN463" s="1">
        <v>2.25</v>
      </c>
      <c r="AO463" t="s">
        <v>50</v>
      </c>
      <c r="AP463" t="s">
        <v>1335</v>
      </c>
      <c r="AQ463" s="1">
        <v>7867</v>
      </c>
      <c r="AR463" t="s">
        <v>70</v>
      </c>
    </row>
    <row r="464" spans="1:44">
      <c r="A464" s="1">
        <v>115847</v>
      </c>
      <c r="B464" s="1">
        <v>115849</v>
      </c>
      <c r="C464" s="1">
        <v>98271</v>
      </c>
      <c r="D464" t="s">
        <v>1336</v>
      </c>
      <c r="E464" t="s">
        <v>1337</v>
      </c>
      <c r="F464" t="str">
        <f>VLOOKUP(E464,Tabela2[#All],2,FALSE)</f>
        <v>Válvula Nível 3</v>
      </c>
      <c r="G464" t="s">
        <v>1338</v>
      </c>
      <c r="H464" s="1">
        <v>4.6500000000000004</v>
      </c>
      <c r="I464" s="1">
        <v>4.6500000000000004</v>
      </c>
      <c r="J464" t="s">
        <v>65</v>
      </c>
      <c r="K464" s="1">
        <v>74.904104000000004</v>
      </c>
      <c r="L464" s="1">
        <v>3.2</v>
      </c>
      <c r="M464" s="1">
        <v>20.126000000000001</v>
      </c>
      <c r="N464" s="1">
        <v>36446</v>
      </c>
      <c r="O464" t="s">
        <v>119</v>
      </c>
      <c r="P464" t="s">
        <v>67</v>
      </c>
      <c r="Q464" t="s">
        <v>68</v>
      </c>
      <c r="R464" t="s">
        <v>50</v>
      </c>
      <c r="S464" t="s">
        <v>50</v>
      </c>
      <c r="T464" s="1">
        <v>31.184456470000001</v>
      </c>
      <c r="U464" s="1">
        <v>30.618872469999999</v>
      </c>
      <c r="V464" s="1">
        <v>0</v>
      </c>
      <c r="W464" s="1">
        <v>0</v>
      </c>
      <c r="X464" t="s">
        <v>50</v>
      </c>
      <c r="Y464" t="s">
        <v>50</v>
      </c>
      <c r="Z464" t="s">
        <v>50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s="1">
        <v>0.25</v>
      </c>
      <c r="AH464" s="1">
        <v>0.8</v>
      </c>
      <c r="AI464" s="1">
        <v>7.1999999999999995E-2</v>
      </c>
      <c r="AJ464" t="s">
        <v>50</v>
      </c>
      <c r="AK464" t="s">
        <v>50</v>
      </c>
      <c r="AL464" t="s">
        <v>50</v>
      </c>
      <c r="AM464" t="s">
        <v>50</v>
      </c>
      <c r="AN464" s="1">
        <v>0.2</v>
      </c>
      <c r="AO464" t="s">
        <v>50</v>
      </c>
      <c r="AP464" t="s">
        <v>1339</v>
      </c>
      <c r="AQ464" s="1">
        <v>12907</v>
      </c>
      <c r="AR464" t="s">
        <v>70</v>
      </c>
    </row>
    <row r="465" spans="1:44">
      <c r="A465" s="1">
        <v>94210</v>
      </c>
      <c r="B465" s="1">
        <v>66398</v>
      </c>
      <c r="C465" s="1">
        <v>60350</v>
      </c>
      <c r="D465" t="s">
        <v>1340</v>
      </c>
      <c r="E465" t="s">
        <v>1316</v>
      </c>
      <c r="F465" t="str">
        <f>VLOOKUP(E465,Tabela2[#All],2,FALSE)</f>
        <v>Válvula Nível 3</v>
      </c>
      <c r="G465" t="s">
        <v>1317</v>
      </c>
      <c r="H465" s="1">
        <v>3.11</v>
      </c>
      <c r="I465" s="1">
        <v>3.11</v>
      </c>
      <c r="J465" t="s">
        <v>65</v>
      </c>
      <c r="K465" s="1">
        <v>76.2</v>
      </c>
      <c r="L465" s="1">
        <v>3.2</v>
      </c>
      <c r="M465" s="1">
        <v>16</v>
      </c>
      <c r="N465" s="1">
        <v>36446</v>
      </c>
      <c r="O465" t="s">
        <v>119</v>
      </c>
      <c r="P465" t="s">
        <v>67</v>
      </c>
      <c r="Q465" t="s">
        <v>68</v>
      </c>
      <c r="R465" s="1">
        <v>0.19</v>
      </c>
      <c r="S465" t="s">
        <v>50</v>
      </c>
      <c r="T465" s="1">
        <v>147.66662485000001</v>
      </c>
      <c r="U465" s="1">
        <v>42.237094849999998</v>
      </c>
      <c r="V465" s="1">
        <v>0</v>
      </c>
      <c r="W465" s="1">
        <v>0</v>
      </c>
      <c r="X465" t="s">
        <v>50</v>
      </c>
      <c r="Y465" t="s">
        <v>50</v>
      </c>
      <c r="Z465" t="s">
        <v>50</v>
      </c>
      <c r="AA465" t="s">
        <v>50</v>
      </c>
      <c r="AB465" s="1">
        <v>31</v>
      </c>
      <c r="AC465" t="s">
        <v>50</v>
      </c>
      <c r="AD465" t="s">
        <v>50</v>
      </c>
      <c r="AE465" t="s">
        <v>50</v>
      </c>
      <c r="AF465" t="s">
        <v>50</v>
      </c>
      <c r="AG465" s="1">
        <v>0.25</v>
      </c>
      <c r="AH465" s="1">
        <v>0.5</v>
      </c>
      <c r="AI465" s="1">
        <v>5.96E-2</v>
      </c>
      <c r="AJ465" t="s">
        <v>50</v>
      </c>
      <c r="AK465" t="s">
        <v>50</v>
      </c>
      <c r="AL465" t="s">
        <v>50</v>
      </c>
      <c r="AM465" t="s">
        <v>50</v>
      </c>
      <c r="AN465" s="1">
        <v>3</v>
      </c>
      <c r="AO465" t="s">
        <v>50</v>
      </c>
      <c r="AP465" t="s">
        <v>1318</v>
      </c>
      <c r="AQ465" s="1">
        <v>5447</v>
      </c>
      <c r="AR465" t="s">
        <v>70</v>
      </c>
    </row>
    <row r="466" spans="1:44">
      <c r="A466" s="1">
        <v>94209</v>
      </c>
      <c r="B466" s="1">
        <v>32388</v>
      </c>
      <c r="C466" s="1">
        <v>31721</v>
      </c>
      <c r="D466" t="s">
        <v>1341</v>
      </c>
      <c r="E466" t="s">
        <v>1151</v>
      </c>
      <c r="F466" t="str">
        <f>VLOOKUP(E466,Tabela2[#All],2,FALSE)</f>
        <v>Válvula Nível 3</v>
      </c>
      <c r="G466" t="s">
        <v>1152</v>
      </c>
      <c r="H466" s="1">
        <v>2.4700000000000002</v>
      </c>
      <c r="I466" s="1">
        <v>2.4700000000000002</v>
      </c>
      <c r="J466" t="s">
        <v>65</v>
      </c>
      <c r="K466" s="1">
        <v>72</v>
      </c>
      <c r="L466" s="1">
        <v>3.2</v>
      </c>
      <c r="M466" s="1">
        <v>16.399999999999999</v>
      </c>
      <c r="N466" s="1">
        <v>36446</v>
      </c>
      <c r="O466" t="s">
        <v>119</v>
      </c>
      <c r="P466" t="s">
        <v>67</v>
      </c>
      <c r="Q466" t="s">
        <v>68</v>
      </c>
      <c r="R466" s="1">
        <v>0.22</v>
      </c>
      <c r="S466" t="s">
        <v>50</v>
      </c>
      <c r="T466" s="1">
        <v>117.62146423</v>
      </c>
      <c r="U466" s="1">
        <v>44.951174229999999</v>
      </c>
      <c r="V466" s="1">
        <v>0</v>
      </c>
      <c r="W466" s="1">
        <v>0</v>
      </c>
      <c r="X466" t="s">
        <v>50</v>
      </c>
      <c r="Y466" t="s">
        <v>50</v>
      </c>
      <c r="Z466" t="s">
        <v>50</v>
      </c>
      <c r="AA466" t="s">
        <v>50</v>
      </c>
      <c r="AB466" s="1">
        <v>19.5</v>
      </c>
      <c r="AC466" t="s">
        <v>50</v>
      </c>
      <c r="AD466" t="s">
        <v>50</v>
      </c>
      <c r="AE466" t="s">
        <v>50</v>
      </c>
      <c r="AF466" t="s">
        <v>50</v>
      </c>
      <c r="AG466" s="1">
        <v>0.3</v>
      </c>
      <c r="AH466" s="1">
        <v>0.83819999999999995</v>
      </c>
      <c r="AI466" s="1">
        <v>0.1095</v>
      </c>
      <c r="AJ466" t="s">
        <v>50</v>
      </c>
      <c r="AK466" t="s">
        <v>50</v>
      </c>
      <c r="AL466" t="s">
        <v>50</v>
      </c>
      <c r="AM466" t="s">
        <v>50</v>
      </c>
      <c r="AN466" s="1">
        <v>3</v>
      </c>
      <c r="AO466" t="s">
        <v>50</v>
      </c>
      <c r="AP466" t="s">
        <v>1153</v>
      </c>
      <c r="AQ466" s="1">
        <v>3285</v>
      </c>
      <c r="AR466" t="s">
        <v>70</v>
      </c>
    </row>
    <row r="467" spans="1:44">
      <c r="A467" s="1">
        <v>94208</v>
      </c>
      <c r="B467" s="1">
        <v>54487</v>
      </c>
      <c r="C467" s="1">
        <v>48787</v>
      </c>
      <c r="D467" t="s">
        <v>1342</v>
      </c>
      <c r="E467" t="s">
        <v>1282</v>
      </c>
      <c r="F467" t="str">
        <f>VLOOKUP(E467,Tabela2[#All],2,FALSE)</f>
        <v>Válvula Nível 3</v>
      </c>
      <c r="G467" t="s">
        <v>1283</v>
      </c>
      <c r="H467" s="1">
        <v>4.8</v>
      </c>
      <c r="I467" s="1">
        <v>4.8</v>
      </c>
      <c r="J467" t="s">
        <v>65</v>
      </c>
      <c r="K467" s="1">
        <v>81.481481000000002</v>
      </c>
      <c r="L467" s="1">
        <v>1.6</v>
      </c>
      <c r="M467" s="1">
        <v>10.8</v>
      </c>
      <c r="N467" s="1">
        <v>36446</v>
      </c>
      <c r="O467" t="s">
        <v>119</v>
      </c>
      <c r="P467" t="s">
        <v>67</v>
      </c>
      <c r="Q467" t="s">
        <v>68</v>
      </c>
      <c r="R467" s="1">
        <v>0.19</v>
      </c>
      <c r="S467" t="s">
        <v>50</v>
      </c>
      <c r="T467" s="1">
        <v>132.82491257999999</v>
      </c>
      <c r="U467" s="1">
        <v>54.643622579999999</v>
      </c>
      <c r="V467" s="1">
        <v>0</v>
      </c>
      <c r="W467" s="1">
        <v>0</v>
      </c>
      <c r="X467" t="s">
        <v>50</v>
      </c>
      <c r="Y467" t="s">
        <v>50</v>
      </c>
      <c r="Z467" t="s">
        <v>50</v>
      </c>
      <c r="AA467" t="s">
        <v>50</v>
      </c>
      <c r="AB467" s="1">
        <v>21</v>
      </c>
      <c r="AC467" t="s">
        <v>50</v>
      </c>
      <c r="AD467" t="s">
        <v>50</v>
      </c>
      <c r="AE467" t="s">
        <v>50</v>
      </c>
      <c r="AF467" t="s">
        <v>50</v>
      </c>
      <c r="AG467" s="1">
        <v>0.83333299999999999</v>
      </c>
      <c r="AH467" s="1">
        <v>1.089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s="1">
        <v>3.9990000000000001</v>
      </c>
      <c r="AO467" t="s">
        <v>50</v>
      </c>
      <c r="AP467" t="s">
        <v>1284</v>
      </c>
      <c r="AQ467" s="1">
        <v>3607</v>
      </c>
      <c r="AR467" t="s">
        <v>70</v>
      </c>
    </row>
    <row r="468" spans="1:44">
      <c r="A468" s="1">
        <v>95030</v>
      </c>
      <c r="B468" s="1">
        <v>95031</v>
      </c>
      <c r="C468" s="1">
        <v>86729</v>
      </c>
      <c r="D468" t="s">
        <v>1343</v>
      </c>
      <c r="E468" t="s">
        <v>1344</v>
      </c>
      <c r="F468" t="str">
        <f>VLOOKUP(E468,Tabela2[#All],2,FALSE)</f>
        <v>Válvula Nível 3</v>
      </c>
      <c r="G468" t="s">
        <v>1345</v>
      </c>
      <c r="H468" s="1">
        <v>2.95</v>
      </c>
      <c r="I468" s="1">
        <v>2.95</v>
      </c>
      <c r="J468" t="s">
        <v>65</v>
      </c>
      <c r="K468" s="1">
        <v>54.237287999999999</v>
      </c>
      <c r="L468" s="1">
        <v>3.2</v>
      </c>
      <c r="M468" s="1">
        <v>17.7</v>
      </c>
      <c r="N468" s="1">
        <v>36441</v>
      </c>
      <c r="O468" t="s">
        <v>66</v>
      </c>
      <c r="P468" t="s">
        <v>67</v>
      </c>
      <c r="Q468" t="s">
        <v>68</v>
      </c>
      <c r="R468" s="1">
        <v>0.13</v>
      </c>
      <c r="S468" t="s">
        <v>50</v>
      </c>
      <c r="T468" s="1">
        <v>31.659607619999999</v>
      </c>
      <c r="U468" s="1">
        <v>31.659607619999999</v>
      </c>
      <c r="V468" s="1">
        <v>0</v>
      </c>
      <c r="W468" s="1">
        <v>0</v>
      </c>
      <c r="X468" t="s">
        <v>50</v>
      </c>
      <c r="Y468" t="s">
        <v>50</v>
      </c>
      <c r="Z468" t="s">
        <v>50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s="1">
        <v>0.25</v>
      </c>
      <c r="AH468" s="1">
        <v>0.85</v>
      </c>
      <c r="AI468" s="1">
        <v>0.153</v>
      </c>
      <c r="AJ468" t="s">
        <v>50</v>
      </c>
      <c r="AK468" t="s">
        <v>50</v>
      </c>
      <c r="AL468" t="s">
        <v>50</v>
      </c>
      <c r="AM468" t="s">
        <v>50</v>
      </c>
      <c r="AN468" s="1">
        <v>2.25</v>
      </c>
      <c r="AO468" t="s">
        <v>50</v>
      </c>
      <c r="AP468" t="s">
        <v>1346</v>
      </c>
      <c r="AQ468" s="1">
        <v>10027</v>
      </c>
      <c r="AR468" t="s">
        <v>70</v>
      </c>
    </row>
    <row r="469" spans="1:44">
      <c r="A469" s="1">
        <v>107613</v>
      </c>
      <c r="B469" s="1">
        <v>107614</v>
      </c>
      <c r="C469" s="1">
        <v>90310</v>
      </c>
      <c r="D469" t="s">
        <v>1347</v>
      </c>
      <c r="E469" t="s">
        <v>1348</v>
      </c>
      <c r="F469" t="str">
        <f>VLOOKUP(E469,Tabela2[#All],2,FALSE)</f>
        <v>Válvula Nível 3</v>
      </c>
      <c r="G469" t="s">
        <v>1349</v>
      </c>
      <c r="H469" s="1">
        <v>3.4</v>
      </c>
      <c r="I469" s="1">
        <v>3.4</v>
      </c>
      <c r="J469" t="s">
        <v>65</v>
      </c>
      <c r="K469" s="1">
        <v>79.071597999999994</v>
      </c>
      <c r="L469" s="1">
        <v>3.3333330000000001</v>
      </c>
      <c r="M469" s="1">
        <v>14.333</v>
      </c>
      <c r="N469" s="1">
        <v>36446</v>
      </c>
      <c r="O469" t="s">
        <v>119</v>
      </c>
      <c r="P469" t="s">
        <v>67</v>
      </c>
      <c r="Q469" t="s">
        <v>68</v>
      </c>
      <c r="R469" t="s">
        <v>50</v>
      </c>
      <c r="S469" s="1">
        <v>0.47</v>
      </c>
      <c r="T469" s="1">
        <v>44.84551622</v>
      </c>
      <c r="U469" s="1">
        <v>44.84551622</v>
      </c>
      <c r="V469" s="1">
        <v>0</v>
      </c>
      <c r="W469" s="1">
        <v>0</v>
      </c>
      <c r="X469" t="s">
        <v>50</v>
      </c>
      <c r="Y469" t="s">
        <v>50</v>
      </c>
      <c r="Z469" t="s">
        <v>50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s="1">
        <v>0.2</v>
      </c>
      <c r="AH469" s="1">
        <v>1.02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s="1">
        <v>4.6500000000000004</v>
      </c>
      <c r="AO469" t="s">
        <v>50</v>
      </c>
      <c r="AP469" t="s">
        <v>1350</v>
      </c>
      <c r="AQ469" s="1">
        <v>10767</v>
      </c>
      <c r="AR469" t="s">
        <v>70</v>
      </c>
    </row>
    <row r="470" spans="1:44">
      <c r="A470" s="1">
        <v>108127</v>
      </c>
      <c r="B470" s="1">
        <v>108128</v>
      </c>
      <c r="C470" s="1">
        <v>90805</v>
      </c>
      <c r="D470" t="s">
        <v>1351</v>
      </c>
      <c r="E470" t="s">
        <v>1352</v>
      </c>
      <c r="F470" t="str">
        <f>VLOOKUP(E470,Tabela2[#All],2,FALSE)</f>
        <v>Válvula Nível 4</v>
      </c>
      <c r="G470" t="s">
        <v>1353</v>
      </c>
      <c r="H470" s="1">
        <v>4.3</v>
      </c>
      <c r="I470" s="1">
        <v>4.3</v>
      </c>
      <c r="J470" t="s">
        <v>65</v>
      </c>
      <c r="K470" s="1">
        <v>74.782608999999994</v>
      </c>
      <c r="L470" s="1">
        <v>3.2</v>
      </c>
      <c r="M470" s="1">
        <v>18.399999999999999</v>
      </c>
      <c r="N470" s="1">
        <v>36446</v>
      </c>
      <c r="O470" t="s">
        <v>119</v>
      </c>
      <c r="P470" t="s">
        <v>67</v>
      </c>
      <c r="Q470" t="s">
        <v>68</v>
      </c>
      <c r="R470" t="s">
        <v>50</v>
      </c>
      <c r="S470" s="1">
        <v>0.32</v>
      </c>
      <c r="T470" s="1">
        <v>50.383240299999997</v>
      </c>
      <c r="U470" s="1">
        <v>50.383240299999997</v>
      </c>
      <c r="V470" s="1">
        <v>0</v>
      </c>
      <c r="W470" s="1">
        <v>0</v>
      </c>
      <c r="X470" t="s">
        <v>50</v>
      </c>
      <c r="Y470" t="s">
        <v>50</v>
      </c>
      <c r="Z470" t="s">
        <v>50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s="1">
        <v>0.25</v>
      </c>
      <c r="AH470" s="1">
        <v>0.95</v>
      </c>
      <c r="AI470" t="s">
        <v>50</v>
      </c>
      <c r="AJ470" t="s">
        <v>50</v>
      </c>
      <c r="AK470" t="s">
        <v>50</v>
      </c>
      <c r="AL470" t="s">
        <v>50</v>
      </c>
      <c r="AM470" t="s">
        <v>50</v>
      </c>
      <c r="AN470" s="1">
        <v>5.25</v>
      </c>
      <c r="AO470" t="s">
        <v>50</v>
      </c>
      <c r="AP470" t="s">
        <v>1354</v>
      </c>
      <c r="AQ470" s="1">
        <v>10927</v>
      </c>
      <c r="AR470" t="s">
        <v>70</v>
      </c>
    </row>
    <row r="471" spans="1:44">
      <c r="A471" s="1">
        <v>107591</v>
      </c>
      <c r="B471" s="1">
        <v>107587</v>
      </c>
      <c r="C471" s="1">
        <v>90284</v>
      </c>
      <c r="D471" t="s">
        <v>1355</v>
      </c>
      <c r="E471" t="s">
        <v>1356</v>
      </c>
      <c r="F471" t="str">
        <f>VLOOKUP(E471,Tabela2[#All],2,FALSE)</f>
        <v>Válvula Nível 3</v>
      </c>
      <c r="G471" t="s">
        <v>1357</v>
      </c>
      <c r="H471" s="1">
        <v>3.08</v>
      </c>
      <c r="I471" s="1">
        <v>3.08</v>
      </c>
      <c r="J471" t="s">
        <v>65</v>
      </c>
      <c r="K471" s="1">
        <v>74.211234000000005</v>
      </c>
      <c r="L471" s="1">
        <v>3.3330000000000002</v>
      </c>
      <c r="M471" s="1">
        <v>13.833</v>
      </c>
      <c r="N471" s="1">
        <v>36446</v>
      </c>
      <c r="O471" t="s">
        <v>119</v>
      </c>
      <c r="P471" t="s">
        <v>67</v>
      </c>
      <c r="Q471" t="s">
        <v>68</v>
      </c>
      <c r="R471" t="s">
        <v>50</v>
      </c>
      <c r="S471" s="1">
        <v>0.46</v>
      </c>
      <c r="T471" s="1">
        <v>40.185820970000002</v>
      </c>
      <c r="U471" s="1">
        <v>40.185820970000002</v>
      </c>
      <c r="V471" s="1">
        <v>0</v>
      </c>
      <c r="W471" s="1">
        <v>0</v>
      </c>
      <c r="X471" t="s">
        <v>50</v>
      </c>
      <c r="Y471" t="s">
        <v>50</v>
      </c>
      <c r="Z471" t="s">
        <v>50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s="1">
        <v>0.2</v>
      </c>
      <c r="AH471" s="1">
        <v>0.8</v>
      </c>
      <c r="AI471" s="1">
        <v>9.2999999999999999E-2</v>
      </c>
      <c r="AJ471" t="s">
        <v>50</v>
      </c>
      <c r="AK471" t="s">
        <v>50</v>
      </c>
      <c r="AL471" t="s">
        <v>50</v>
      </c>
      <c r="AM471" t="s">
        <v>50</v>
      </c>
      <c r="AN471" s="1">
        <v>3.9</v>
      </c>
      <c r="AO471" t="s">
        <v>50</v>
      </c>
      <c r="AP471" t="s">
        <v>1358</v>
      </c>
      <c r="AQ471" s="1">
        <v>10727</v>
      </c>
      <c r="AR471" t="s">
        <v>70</v>
      </c>
    </row>
    <row r="472" spans="1:44">
      <c r="A472" s="1">
        <v>109414</v>
      </c>
      <c r="B472" s="1">
        <v>109415</v>
      </c>
      <c r="C472" s="1">
        <v>92071</v>
      </c>
      <c r="D472" t="s">
        <v>1359</v>
      </c>
      <c r="E472" t="s">
        <v>1360</v>
      </c>
      <c r="F472" t="str">
        <f>VLOOKUP(E472,Tabela2[#All],2,FALSE)</f>
        <v>Válvula Nível 3</v>
      </c>
      <c r="G472" t="s">
        <v>1361</v>
      </c>
      <c r="H472" s="1">
        <v>3.86</v>
      </c>
      <c r="I472" s="1">
        <v>3.86</v>
      </c>
      <c r="J472" t="s">
        <v>65</v>
      </c>
      <c r="K472" s="1">
        <v>74.953618000000006</v>
      </c>
      <c r="L472" s="1">
        <v>3.3332999999999999</v>
      </c>
      <c r="M472" s="1">
        <v>17.166</v>
      </c>
      <c r="N472" s="1">
        <v>36446</v>
      </c>
      <c r="O472" t="s">
        <v>119</v>
      </c>
      <c r="P472" t="s">
        <v>67</v>
      </c>
      <c r="Q472" t="s">
        <v>68</v>
      </c>
      <c r="R472" t="s">
        <v>50</v>
      </c>
      <c r="S472" s="1">
        <v>0.33700000000000002</v>
      </c>
      <c r="T472" s="1">
        <v>46.418144140000003</v>
      </c>
      <c r="U472" s="1">
        <v>45.940354139999997</v>
      </c>
      <c r="V472" s="1">
        <v>0</v>
      </c>
      <c r="W472" s="1">
        <v>0</v>
      </c>
      <c r="X472" t="s">
        <v>50</v>
      </c>
      <c r="Y472" t="s">
        <v>50</v>
      </c>
      <c r="Z472" t="s">
        <v>50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50</v>
      </c>
      <c r="AG472" s="1">
        <v>0.2</v>
      </c>
      <c r="AH472" s="1">
        <v>1.1499999999999999</v>
      </c>
      <c r="AI472" t="s">
        <v>50</v>
      </c>
      <c r="AJ472" t="s">
        <v>50</v>
      </c>
      <c r="AK472" t="s">
        <v>50</v>
      </c>
      <c r="AL472" t="s">
        <v>50</v>
      </c>
      <c r="AM472" t="s">
        <v>50</v>
      </c>
      <c r="AN472" s="1">
        <v>3.8</v>
      </c>
      <c r="AO472" t="s">
        <v>50</v>
      </c>
      <c r="AP472" t="s">
        <v>1362</v>
      </c>
      <c r="AQ472" s="1">
        <v>11187</v>
      </c>
      <c r="AR472" t="s">
        <v>70</v>
      </c>
    </row>
    <row r="473" spans="1:44">
      <c r="A473" s="1">
        <v>107647</v>
      </c>
      <c r="B473" s="1">
        <v>107648</v>
      </c>
      <c r="C473" s="1">
        <v>90345</v>
      </c>
      <c r="D473" t="s">
        <v>1363</v>
      </c>
      <c r="E473" t="s">
        <v>1364</v>
      </c>
      <c r="F473" t="str">
        <f>VLOOKUP(E473,Tabela2[#All],2,FALSE)</f>
        <v>Válvula Nível 3</v>
      </c>
      <c r="G473" t="s">
        <v>1365</v>
      </c>
      <c r="H473" s="1">
        <v>3.3</v>
      </c>
      <c r="I473" s="1">
        <v>3.3</v>
      </c>
      <c r="J473" t="s">
        <v>65</v>
      </c>
      <c r="K473" s="1">
        <v>73.251942</v>
      </c>
      <c r="L473" s="1">
        <v>4</v>
      </c>
      <c r="M473" s="1">
        <v>18.02</v>
      </c>
      <c r="N473" s="1">
        <v>36446</v>
      </c>
      <c r="O473" t="s">
        <v>119</v>
      </c>
      <c r="P473" t="s">
        <v>67</v>
      </c>
      <c r="Q473" t="s">
        <v>68</v>
      </c>
      <c r="R473" t="s">
        <v>50</v>
      </c>
      <c r="S473" s="1">
        <v>0.33</v>
      </c>
      <c r="T473" s="1">
        <v>42.567870550000002</v>
      </c>
      <c r="U473" s="1">
        <v>42.567870550000002</v>
      </c>
      <c r="V473" s="1">
        <v>0</v>
      </c>
      <c r="W473" s="1">
        <v>0</v>
      </c>
      <c r="X473" t="s">
        <v>50</v>
      </c>
      <c r="Y473" t="s">
        <v>50</v>
      </c>
      <c r="Z473" t="s">
        <v>50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50</v>
      </c>
      <c r="AG473" s="1">
        <v>0.2</v>
      </c>
      <c r="AH473" s="1">
        <v>1.02</v>
      </c>
      <c r="AI473" t="s">
        <v>50</v>
      </c>
      <c r="AJ473" t="s">
        <v>50</v>
      </c>
      <c r="AK473" t="s">
        <v>50</v>
      </c>
      <c r="AL473" t="s">
        <v>50</v>
      </c>
      <c r="AM473" t="s">
        <v>50</v>
      </c>
      <c r="AN473" s="1">
        <v>4.5</v>
      </c>
      <c r="AO473" t="s">
        <v>50</v>
      </c>
      <c r="AP473" t="s">
        <v>1366</v>
      </c>
      <c r="AQ473" s="1">
        <v>10787</v>
      </c>
      <c r="AR473" t="s">
        <v>70</v>
      </c>
    </row>
    <row r="474" spans="1:44">
      <c r="A474" s="1">
        <v>108209</v>
      </c>
      <c r="B474" s="1">
        <v>108210</v>
      </c>
      <c r="C474" s="1">
        <v>90886</v>
      </c>
      <c r="D474" t="s">
        <v>1367</v>
      </c>
      <c r="E474" t="s">
        <v>1368</v>
      </c>
      <c r="F474" t="str">
        <f>VLOOKUP(E474,Tabela2[#All],2,FALSE)</f>
        <v>Válvula Nível 3</v>
      </c>
      <c r="G474" t="s">
        <v>1369</v>
      </c>
      <c r="H474" s="1">
        <v>4.0999999999999996</v>
      </c>
      <c r="I474" s="1">
        <v>4</v>
      </c>
      <c r="J474" t="s">
        <v>65</v>
      </c>
      <c r="K474" s="1">
        <v>74.782608999999994</v>
      </c>
      <c r="L474" s="1">
        <v>4</v>
      </c>
      <c r="M474" s="1">
        <v>23</v>
      </c>
      <c r="N474" s="1">
        <v>36446</v>
      </c>
      <c r="O474" t="s">
        <v>119</v>
      </c>
      <c r="P474" t="s">
        <v>67</v>
      </c>
      <c r="Q474" t="s">
        <v>68</v>
      </c>
      <c r="R474" t="s">
        <v>50</v>
      </c>
      <c r="S474" s="1">
        <v>0.4</v>
      </c>
      <c r="T474" s="1">
        <v>49.02622538</v>
      </c>
      <c r="U474" s="1">
        <v>49.02622538</v>
      </c>
      <c r="V474" s="1">
        <v>0</v>
      </c>
      <c r="W474" s="1">
        <v>0</v>
      </c>
      <c r="X474" t="s">
        <v>50</v>
      </c>
      <c r="Y474" t="s">
        <v>50</v>
      </c>
      <c r="Z474" t="s">
        <v>50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50</v>
      </c>
      <c r="AG474" s="1">
        <v>0.25</v>
      </c>
      <c r="AH474" s="1">
        <v>1.24</v>
      </c>
      <c r="AI474" t="s">
        <v>50</v>
      </c>
      <c r="AJ474" t="s">
        <v>50</v>
      </c>
      <c r="AK474" t="s">
        <v>50</v>
      </c>
      <c r="AL474" t="s">
        <v>50</v>
      </c>
      <c r="AM474" t="s">
        <v>50</v>
      </c>
      <c r="AN474" s="1">
        <v>4.3499999999999996</v>
      </c>
      <c r="AO474" t="s">
        <v>50</v>
      </c>
      <c r="AP474" t="s">
        <v>1370</v>
      </c>
      <c r="AQ474" s="1">
        <v>10947</v>
      </c>
      <c r="AR474" t="s">
        <v>70</v>
      </c>
    </row>
    <row r="475" spans="1:44">
      <c r="A475" s="1">
        <v>40277</v>
      </c>
      <c r="B475" s="1">
        <v>36939</v>
      </c>
      <c r="C475" s="1">
        <v>34730</v>
      </c>
      <c r="D475" t="s">
        <v>1371</v>
      </c>
      <c r="E475" t="s">
        <v>1372</v>
      </c>
      <c r="F475" t="str">
        <f>VLOOKUP(E475,Tabela2[#All],2,FALSE)</f>
        <v>Válvula Nível 4</v>
      </c>
      <c r="G475" t="s">
        <v>1373</v>
      </c>
      <c r="H475" s="1">
        <v>2.4359999999999999</v>
      </c>
      <c r="I475" s="1">
        <v>2.4359999999999999</v>
      </c>
      <c r="J475" t="s">
        <v>65</v>
      </c>
      <c r="K475" s="1">
        <v>79.311627999999999</v>
      </c>
      <c r="L475" s="1">
        <v>3.5</v>
      </c>
      <c r="M475" s="1">
        <v>10.75</v>
      </c>
      <c r="N475" s="1">
        <v>36441</v>
      </c>
      <c r="O475" t="s">
        <v>66</v>
      </c>
      <c r="P475" t="s">
        <v>113</v>
      </c>
      <c r="Q475" t="s">
        <v>68</v>
      </c>
      <c r="R475" t="s">
        <v>50</v>
      </c>
      <c r="S475" s="1">
        <v>1.3</v>
      </c>
      <c r="T475" s="1">
        <v>28.04330388</v>
      </c>
      <c r="U475" s="1">
        <v>27.686089540000001</v>
      </c>
      <c r="V475" s="1">
        <v>0</v>
      </c>
      <c r="W475" s="1">
        <v>0</v>
      </c>
      <c r="X475" t="s">
        <v>50</v>
      </c>
      <c r="Y475" t="s">
        <v>50</v>
      </c>
      <c r="Z475" t="s">
        <v>50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50</v>
      </c>
      <c r="AG475" s="1">
        <v>0.17857100000000001</v>
      </c>
      <c r="AH475" s="1">
        <v>0.8</v>
      </c>
      <c r="AI475" t="s">
        <v>50</v>
      </c>
      <c r="AJ475" t="s">
        <v>50</v>
      </c>
      <c r="AK475" t="s">
        <v>50</v>
      </c>
      <c r="AL475" t="s">
        <v>50</v>
      </c>
      <c r="AM475" t="s">
        <v>50</v>
      </c>
      <c r="AN475" s="1">
        <v>1.8</v>
      </c>
      <c r="AO475" t="s">
        <v>50</v>
      </c>
      <c r="AP475" t="s">
        <v>1374</v>
      </c>
      <c r="AQ475" s="1">
        <v>1942</v>
      </c>
      <c r="AR475" t="s">
        <v>70</v>
      </c>
    </row>
    <row r="476" spans="1:44">
      <c r="A476" s="1">
        <v>40278</v>
      </c>
      <c r="B476" s="1">
        <v>32397</v>
      </c>
      <c r="C476" s="1">
        <v>31730</v>
      </c>
      <c r="D476" t="s">
        <v>1375</v>
      </c>
      <c r="E476" t="s">
        <v>1376</v>
      </c>
      <c r="F476" t="str">
        <f>VLOOKUP(E476,Tabela2[#All],2,FALSE)</f>
        <v>Válvula Nível 4</v>
      </c>
      <c r="G476" t="s">
        <v>1377</v>
      </c>
      <c r="H476" s="1">
        <v>2.27</v>
      </c>
      <c r="I476" s="1">
        <v>2.27</v>
      </c>
      <c r="J476" t="s">
        <v>65</v>
      </c>
      <c r="K476" s="1">
        <v>69.928506999999996</v>
      </c>
      <c r="L476" s="1">
        <v>3.4285709999999998</v>
      </c>
      <c r="M476" s="1">
        <v>11.571</v>
      </c>
      <c r="N476" s="1">
        <v>36441</v>
      </c>
      <c r="O476" t="s">
        <v>66</v>
      </c>
      <c r="P476" t="s">
        <v>113</v>
      </c>
      <c r="Q476" t="s">
        <v>68</v>
      </c>
      <c r="R476" t="s">
        <v>50</v>
      </c>
      <c r="S476" s="1">
        <v>0.28000000000000003</v>
      </c>
      <c r="T476" s="1">
        <v>30.726466739999999</v>
      </c>
      <c r="U476" s="1">
        <v>29.54958504</v>
      </c>
      <c r="V476" s="1">
        <v>0</v>
      </c>
      <c r="W476" s="1">
        <v>0</v>
      </c>
      <c r="X476" t="s">
        <v>50</v>
      </c>
      <c r="Y476" t="s">
        <v>50</v>
      </c>
      <c r="Z476" t="s">
        <v>50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s="1">
        <v>0.15625</v>
      </c>
      <c r="AH476" s="1">
        <v>0.68379999999999996</v>
      </c>
      <c r="AI476" s="1">
        <v>7.3599999999999999E-2</v>
      </c>
      <c r="AJ476" t="s">
        <v>50</v>
      </c>
      <c r="AK476" t="s">
        <v>50</v>
      </c>
      <c r="AL476" t="s">
        <v>50</v>
      </c>
      <c r="AM476" t="s">
        <v>50</v>
      </c>
      <c r="AN476" s="1">
        <v>3</v>
      </c>
      <c r="AO476" t="s">
        <v>50</v>
      </c>
      <c r="AP476" t="s">
        <v>1378</v>
      </c>
      <c r="AQ476" s="1">
        <v>1943</v>
      </c>
      <c r="AR476" t="s">
        <v>70</v>
      </c>
    </row>
    <row r="477" spans="1:44">
      <c r="A477" s="1">
        <v>40407</v>
      </c>
      <c r="B477" s="1">
        <v>32398</v>
      </c>
      <c r="C477" s="1">
        <v>31731</v>
      </c>
      <c r="D477" t="s">
        <v>1379</v>
      </c>
      <c r="E477" t="s">
        <v>1380</v>
      </c>
      <c r="F477" t="str">
        <f>VLOOKUP(E477,Tabela2[#All],2,FALSE)</f>
        <v>Válvula Nível 4</v>
      </c>
      <c r="G477" t="s">
        <v>1381</v>
      </c>
      <c r="H477" s="1">
        <v>1.52</v>
      </c>
      <c r="I477" s="1">
        <v>1.52</v>
      </c>
      <c r="J477" t="s">
        <v>65</v>
      </c>
      <c r="K477" s="1">
        <v>67.666667000000004</v>
      </c>
      <c r="L477" s="1">
        <v>3.5</v>
      </c>
      <c r="M477" s="1">
        <v>7.5</v>
      </c>
      <c r="N477" s="1">
        <v>36441</v>
      </c>
      <c r="O477" t="s">
        <v>66</v>
      </c>
      <c r="P477" t="s">
        <v>113</v>
      </c>
      <c r="Q477" t="s">
        <v>68</v>
      </c>
      <c r="R477" t="s">
        <v>50</v>
      </c>
      <c r="S477" s="1">
        <v>0.1</v>
      </c>
      <c r="T477" s="1">
        <v>24.632667699999999</v>
      </c>
      <c r="U477" s="1">
        <v>24.282519409999999</v>
      </c>
      <c r="V477" s="1">
        <v>0</v>
      </c>
      <c r="W477" s="1">
        <v>0</v>
      </c>
      <c r="X477" t="s">
        <v>50</v>
      </c>
      <c r="Y477" t="s">
        <v>50</v>
      </c>
      <c r="Z477" t="s">
        <v>50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s="1">
        <v>0.15625</v>
      </c>
      <c r="AH477" s="1">
        <v>1.1000000000000001</v>
      </c>
      <c r="AI477" s="1">
        <v>4.87E-2</v>
      </c>
      <c r="AJ477" t="s">
        <v>50</v>
      </c>
      <c r="AK477" t="s">
        <v>50</v>
      </c>
      <c r="AL477" t="s">
        <v>50</v>
      </c>
      <c r="AM477" t="s">
        <v>50</v>
      </c>
      <c r="AN477" s="1">
        <v>3</v>
      </c>
      <c r="AO477" t="s">
        <v>50</v>
      </c>
      <c r="AP477" t="s">
        <v>1382</v>
      </c>
      <c r="AQ477" s="1">
        <v>1944</v>
      </c>
      <c r="AR477" t="s">
        <v>70</v>
      </c>
    </row>
    <row r="478" spans="1:44">
      <c r="A478" s="1">
        <v>106929</v>
      </c>
      <c r="B478" s="1">
        <v>106927</v>
      </c>
      <c r="C478" s="1">
        <v>89664</v>
      </c>
      <c r="D478" t="s">
        <v>1383</v>
      </c>
      <c r="E478" t="s">
        <v>1384</v>
      </c>
      <c r="F478" t="str">
        <f>VLOOKUP(E478,Tabela2[#All],2,FALSE)</f>
        <v>PORCA</v>
      </c>
      <c r="G478" t="s">
        <v>1385</v>
      </c>
      <c r="H478" s="1">
        <v>0.64</v>
      </c>
      <c r="I478" s="1">
        <v>0.64</v>
      </c>
      <c r="J478" t="s">
        <v>46</v>
      </c>
      <c r="K478" s="1">
        <v>44.369748000000001</v>
      </c>
      <c r="L478" s="1">
        <v>8</v>
      </c>
      <c r="M478" s="1">
        <v>11.9</v>
      </c>
      <c r="N478" s="1">
        <v>32901</v>
      </c>
      <c r="O478" t="s">
        <v>534</v>
      </c>
      <c r="P478" t="s">
        <v>1262</v>
      </c>
      <c r="Q478" t="s">
        <v>350</v>
      </c>
      <c r="R478" t="s">
        <v>50</v>
      </c>
      <c r="S478" t="s">
        <v>50</v>
      </c>
      <c r="T478" s="1">
        <v>5.7656472900000004</v>
      </c>
      <c r="U478" s="1">
        <v>5.3825438999999999</v>
      </c>
      <c r="V478" s="1">
        <v>0</v>
      </c>
      <c r="W478" s="1">
        <v>0</v>
      </c>
      <c r="X478" t="s">
        <v>50</v>
      </c>
      <c r="Y478" s="1">
        <v>1.2999999999999999E-2</v>
      </c>
      <c r="Z478" t="s">
        <v>50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s="1">
        <v>9.3899999999999997E-2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t="s">
        <v>1386</v>
      </c>
      <c r="AQ478" s="1">
        <v>10467</v>
      </c>
      <c r="AR478" t="s">
        <v>51</v>
      </c>
    </row>
    <row r="479" spans="1:44">
      <c r="A479" s="1">
        <v>106972</v>
      </c>
      <c r="B479" s="1">
        <v>106974</v>
      </c>
      <c r="C479" s="1">
        <v>89709</v>
      </c>
      <c r="D479" t="s">
        <v>1387</v>
      </c>
      <c r="E479" t="s">
        <v>1388</v>
      </c>
      <c r="F479" t="str">
        <f>VLOOKUP(E479,Tabela2[#All],2,FALSE)</f>
        <v>EMBOLO</v>
      </c>
      <c r="G479" t="s">
        <v>1389</v>
      </c>
      <c r="H479" s="1">
        <v>0.4</v>
      </c>
      <c r="I479" s="1">
        <v>0.4</v>
      </c>
      <c r="J479" t="s">
        <v>46</v>
      </c>
      <c r="K479" s="1">
        <v>60.453400999999999</v>
      </c>
      <c r="L479" s="1">
        <v>18</v>
      </c>
      <c r="M479" s="1">
        <v>11.91</v>
      </c>
      <c r="N479" s="1">
        <v>33009</v>
      </c>
      <c r="O479" t="s">
        <v>74</v>
      </c>
      <c r="P479" t="s">
        <v>1262</v>
      </c>
      <c r="Q479" t="s">
        <v>350</v>
      </c>
      <c r="R479" t="s">
        <v>50</v>
      </c>
      <c r="S479" t="s">
        <v>50</v>
      </c>
      <c r="T479" s="1">
        <v>2.94284838</v>
      </c>
      <c r="U479" s="1">
        <v>2.74569565</v>
      </c>
      <c r="V479" s="1">
        <v>0</v>
      </c>
      <c r="W479" s="1">
        <v>0</v>
      </c>
      <c r="X479" t="s">
        <v>50</v>
      </c>
      <c r="Y479" s="1">
        <v>8.3000000000000001E-3</v>
      </c>
      <c r="Z479" t="s">
        <v>50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s="1">
        <v>4.3499999999999997E-2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t="s">
        <v>1390</v>
      </c>
      <c r="AQ479" s="1">
        <v>10527</v>
      </c>
      <c r="AR479" t="s">
        <v>51</v>
      </c>
    </row>
    <row r="480" spans="1:44">
      <c r="A480" s="1">
        <v>106967</v>
      </c>
      <c r="B480" s="1">
        <v>106969</v>
      </c>
      <c r="C480" s="1">
        <v>89705</v>
      </c>
      <c r="D480" t="s">
        <v>1391</v>
      </c>
      <c r="E480" t="s">
        <v>1392</v>
      </c>
      <c r="F480" t="str">
        <f>VLOOKUP(E480,Tabela2[#All],2,FALSE)</f>
        <v xml:space="preserve">BASE </v>
      </c>
      <c r="G480" t="s">
        <v>1393</v>
      </c>
      <c r="H480" s="1">
        <v>2.2000000000000002</v>
      </c>
      <c r="I480" s="1">
        <v>2.2200000000000002</v>
      </c>
      <c r="J480" t="s">
        <v>46</v>
      </c>
      <c r="K480" s="1">
        <v>54.326923000000001</v>
      </c>
      <c r="L480" s="1">
        <v>4</v>
      </c>
      <c r="M480" s="1">
        <v>16.64</v>
      </c>
      <c r="N480" s="1">
        <v>32901</v>
      </c>
      <c r="O480" t="s">
        <v>534</v>
      </c>
      <c r="P480" t="s">
        <v>1262</v>
      </c>
      <c r="Q480" t="s">
        <v>350</v>
      </c>
      <c r="R480" t="s">
        <v>50</v>
      </c>
      <c r="S480" t="s">
        <v>50</v>
      </c>
      <c r="T480" s="1">
        <v>14.52759489</v>
      </c>
      <c r="U480" s="1">
        <v>13.88279672</v>
      </c>
      <c r="V480" s="1">
        <v>0</v>
      </c>
      <c r="W480" s="1">
        <v>0</v>
      </c>
      <c r="X480" t="s">
        <v>50</v>
      </c>
      <c r="Y480" s="1">
        <v>3.3700000000000001E-2</v>
      </c>
      <c r="Z480" t="s">
        <v>50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s="1">
        <v>0.2046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1394</v>
      </c>
      <c r="AQ480" s="1">
        <v>10507</v>
      </c>
      <c r="AR480" t="s">
        <v>51</v>
      </c>
    </row>
    <row r="481" spans="1:44">
      <c r="A481" s="1">
        <v>53738</v>
      </c>
      <c r="B481" s="1">
        <v>53739</v>
      </c>
      <c r="C481" s="1">
        <v>48113</v>
      </c>
      <c r="D481" t="s">
        <v>1395</v>
      </c>
      <c r="E481" t="s">
        <v>1396</v>
      </c>
      <c r="F481" t="str">
        <f>VLOOKUP(E481,Tabela2[#All],2,FALSE)</f>
        <v>Válvula Nível 3</v>
      </c>
      <c r="G481" t="s">
        <v>1397</v>
      </c>
      <c r="H481" s="1">
        <v>2.2999999999999998</v>
      </c>
      <c r="I481" s="1">
        <v>2.2999999999999998</v>
      </c>
      <c r="J481" t="s">
        <v>65</v>
      </c>
      <c r="K481" t="s">
        <v>50</v>
      </c>
      <c r="L481" s="1">
        <v>3.42</v>
      </c>
      <c r="M481" s="1">
        <v>3.0619999999999998</v>
      </c>
      <c r="N481" s="1">
        <v>36441</v>
      </c>
      <c r="O481" t="s">
        <v>66</v>
      </c>
      <c r="P481" t="s">
        <v>113</v>
      </c>
      <c r="Q481" t="s">
        <v>68</v>
      </c>
      <c r="R481" t="s">
        <v>50</v>
      </c>
      <c r="S481" t="s">
        <v>50</v>
      </c>
      <c r="T481" s="1">
        <v>31.997226309999999</v>
      </c>
      <c r="U481" s="1">
        <v>31.591191590000001</v>
      </c>
      <c r="V481" s="1">
        <v>0</v>
      </c>
      <c r="W481" s="1">
        <v>0</v>
      </c>
      <c r="X481" t="s">
        <v>50</v>
      </c>
      <c r="Y481" t="s">
        <v>50</v>
      </c>
      <c r="Z481" t="s">
        <v>50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s="1">
        <v>0.20830000000000001</v>
      </c>
      <c r="AH481" s="1">
        <v>1.1499999999999999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s="1">
        <v>3.9</v>
      </c>
      <c r="AO481" t="s">
        <v>50</v>
      </c>
      <c r="AP481" t="s">
        <v>1398</v>
      </c>
      <c r="AQ481" s="1">
        <v>3608</v>
      </c>
      <c r="AR481" t="s">
        <v>70</v>
      </c>
    </row>
    <row r="482" spans="1:44">
      <c r="A482" s="1">
        <v>106791</v>
      </c>
      <c r="B482" s="1">
        <v>106790</v>
      </c>
      <c r="C482" s="1">
        <v>89526</v>
      </c>
      <c r="D482" t="s">
        <v>1400</v>
      </c>
      <c r="E482" t="s">
        <v>1401</v>
      </c>
      <c r="F482" t="str">
        <f>VLOOKUP(E482,Tabela2[#All],2,FALSE)</f>
        <v>HIDRÁULICO MACIÇO</v>
      </c>
      <c r="G482" t="s">
        <v>1402</v>
      </c>
      <c r="H482" s="1">
        <v>4.96</v>
      </c>
      <c r="I482" s="1">
        <v>4.96</v>
      </c>
      <c r="J482" t="s">
        <v>46</v>
      </c>
      <c r="K482" s="1">
        <v>60.822248999999999</v>
      </c>
      <c r="L482" s="1">
        <v>2</v>
      </c>
      <c r="M482" s="1">
        <v>16.54</v>
      </c>
      <c r="N482" s="1">
        <v>33009</v>
      </c>
      <c r="O482" t="s">
        <v>74</v>
      </c>
      <c r="P482" t="s">
        <v>113</v>
      </c>
      <c r="Q482" t="s">
        <v>68</v>
      </c>
      <c r="R482" t="s">
        <v>50</v>
      </c>
      <c r="S482" s="1">
        <v>0.69</v>
      </c>
      <c r="T482" s="1">
        <v>32.809924539999997</v>
      </c>
      <c r="U482" s="1">
        <v>31.597269839999999</v>
      </c>
      <c r="V482" s="1">
        <v>0</v>
      </c>
      <c r="W482" s="1">
        <v>0</v>
      </c>
      <c r="X482" t="s">
        <v>50</v>
      </c>
      <c r="Y482" s="1">
        <v>0.21</v>
      </c>
      <c r="Z482" t="s">
        <v>50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s="1">
        <v>0.35000100000000001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1403</v>
      </c>
      <c r="AQ482" s="1">
        <v>10407</v>
      </c>
      <c r="AR482" t="s">
        <v>51</v>
      </c>
    </row>
    <row r="483" spans="1:44">
      <c r="A483" s="1">
        <v>44619</v>
      </c>
      <c r="B483" s="1">
        <v>44620</v>
      </c>
      <c r="C483" s="1">
        <v>39676</v>
      </c>
      <c r="D483" t="s">
        <v>1404</v>
      </c>
      <c r="E483" t="s">
        <v>1405</v>
      </c>
      <c r="F483" t="str">
        <f>VLOOKUP(E483,Tabela2[#All],2,FALSE)</f>
        <v>Válvula Nível 1</v>
      </c>
      <c r="G483" t="s">
        <v>1406</v>
      </c>
      <c r="H483" s="1">
        <v>5.24</v>
      </c>
      <c r="I483" s="1">
        <v>5.24</v>
      </c>
      <c r="J483" t="s">
        <v>65</v>
      </c>
      <c r="K483" s="1">
        <v>76.218181999999999</v>
      </c>
      <c r="L483" s="1">
        <v>3.2</v>
      </c>
      <c r="M483" s="1">
        <v>22</v>
      </c>
      <c r="N483" s="1">
        <v>89565</v>
      </c>
      <c r="O483" t="s">
        <v>195</v>
      </c>
      <c r="P483" t="s">
        <v>113</v>
      </c>
      <c r="Q483" t="s">
        <v>68</v>
      </c>
      <c r="R483" s="1">
        <v>0.44800000000000001</v>
      </c>
      <c r="S483" t="s">
        <v>50</v>
      </c>
      <c r="T483" s="1">
        <v>83.582215540000007</v>
      </c>
      <c r="U483" s="1">
        <v>83.253265540000001</v>
      </c>
      <c r="V483" s="1">
        <v>0</v>
      </c>
      <c r="W483" s="1">
        <v>0</v>
      </c>
      <c r="X483" t="s">
        <v>50</v>
      </c>
      <c r="Y483" t="s">
        <v>50</v>
      </c>
      <c r="Z483" t="s">
        <v>50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s="1">
        <v>0.625</v>
      </c>
      <c r="AH483" s="1">
        <v>1.089</v>
      </c>
      <c r="AI483" t="s">
        <v>50</v>
      </c>
      <c r="AJ483" t="s">
        <v>50</v>
      </c>
      <c r="AK483" t="s">
        <v>50</v>
      </c>
      <c r="AL483" t="s">
        <v>50</v>
      </c>
      <c r="AM483" t="s">
        <v>50</v>
      </c>
      <c r="AN483" s="1">
        <v>4.2</v>
      </c>
      <c r="AO483" t="s">
        <v>50</v>
      </c>
      <c r="AP483" t="s">
        <v>1407</v>
      </c>
      <c r="AQ483" s="1">
        <v>2524</v>
      </c>
      <c r="AR483" t="s">
        <v>70</v>
      </c>
    </row>
    <row r="484" spans="1:44">
      <c r="A484" s="1">
        <v>57997</v>
      </c>
      <c r="B484" s="1">
        <v>57998</v>
      </c>
      <c r="C484" s="1">
        <v>52210</v>
      </c>
      <c r="D484" t="s">
        <v>1408</v>
      </c>
      <c r="E484" t="s">
        <v>1409</v>
      </c>
      <c r="F484" t="str">
        <f>VLOOKUP(E484,Tabela2[#All],2,FALSE)</f>
        <v>Válvula Nível 3</v>
      </c>
      <c r="G484" t="s">
        <v>1410</v>
      </c>
      <c r="H484" s="1">
        <v>3.972</v>
      </c>
      <c r="I484" s="1">
        <v>3.972</v>
      </c>
      <c r="J484" t="s">
        <v>65</v>
      </c>
      <c r="K484" s="1">
        <v>73.846153999999999</v>
      </c>
      <c r="L484" s="1">
        <v>12</v>
      </c>
      <c r="M484" s="1">
        <v>65</v>
      </c>
      <c r="N484" s="1">
        <v>36441</v>
      </c>
      <c r="O484" t="s">
        <v>66</v>
      </c>
      <c r="P484" t="s">
        <v>113</v>
      </c>
      <c r="Q484" t="s">
        <v>68</v>
      </c>
      <c r="R484" t="s">
        <v>50</v>
      </c>
      <c r="S484" t="s">
        <v>50</v>
      </c>
      <c r="T484" s="1">
        <v>45.355666800000002</v>
      </c>
      <c r="U484" s="1">
        <v>45.355666800000002</v>
      </c>
      <c r="V484" s="1">
        <v>0</v>
      </c>
      <c r="W484" s="1">
        <v>0</v>
      </c>
      <c r="X484" t="s">
        <v>50</v>
      </c>
      <c r="Y484" t="s">
        <v>50</v>
      </c>
      <c r="Z484" t="s">
        <v>50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50</v>
      </c>
      <c r="AG484" s="1">
        <v>0.33300000000000002</v>
      </c>
      <c r="AH484" s="1">
        <v>1.85</v>
      </c>
      <c r="AI484" t="s">
        <v>50</v>
      </c>
      <c r="AJ484" t="s">
        <v>50</v>
      </c>
      <c r="AK484" t="s">
        <v>50</v>
      </c>
      <c r="AL484" t="s">
        <v>50</v>
      </c>
      <c r="AM484" t="s">
        <v>50</v>
      </c>
      <c r="AN484" s="1">
        <v>2.7</v>
      </c>
      <c r="AO484" t="s">
        <v>50</v>
      </c>
      <c r="AP484" t="s">
        <v>1411</v>
      </c>
      <c r="AQ484" s="1">
        <v>10907</v>
      </c>
      <c r="AR484" t="s">
        <v>70</v>
      </c>
    </row>
    <row r="485" spans="1:44">
      <c r="A485" s="1">
        <v>41725</v>
      </c>
      <c r="B485" s="1">
        <v>41726</v>
      </c>
      <c r="C485" s="1">
        <v>36952</v>
      </c>
      <c r="D485" t="s">
        <v>1412</v>
      </c>
      <c r="E485" t="s">
        <v>1413</v>
      </c>
      <c r="F485" t="str">
        <f>VLOOKUP(E485,Tabela2[#All],2,FALSE)</f>
        <v>Válvula Nível 3</v>
      </c>
      <c r="G485" t="s">
        <v>1414</v>
      </c>
      <c r="H485" s="1">
        <v>1.72</v>
      </c>
      <c r="I485" s="1">
        <v>1.72</v>
      </c>
      <c r="J485" t="s">
        <v>65</v>
      </c>
      <c r="K485" s="1">
        <v>68.228571000000002</v>
      </c>
      <c r="L485" s="1">
        <v>4.8</v>
      </c>
      <c r="M485" s="1">
        <v>14</v>
      </c>
      <c r="N485" s="1">
        <v>36441</v>
      </c>
      <c r="O485" t="s">
        <v>66</v>
      </c>
      <c r="P485" t="s">
        <v>113</v>
      </c>
      <c r="Q485" t="s">
        <v>68</v>
      </c>
      <c r="R485" s="1">
        <v>0.19600000000000001</v>
      </c>
      <c r="S485" t="s">
        <v>50</v>
      </c>
      <c r="T485" s="1">
        <v>54.03356067</v>
      </c>
      <c r="U485" s="1">
        <v>25.51738653</v>
      </c>
      <c r="V485" s="1">
        <v>0</v>
      </c>
      <c r="W485" s="1">
        <v>2.0380967999999999</v>
      </c>
      <c r="X485" t="s">
        <v>50</v>
      </c>
      <c r="Y485" t="s">
        <v>50</v>
      </c>
      <c r="Z485" t="s">
        <v>50</v>
      </c>
      <c r="AA485" t="s">
        <v>50</v>
      </c>
      <c r="AB485" s="1">
        <v>5.4160000000000004</v>
      </c>
      <c r="AC485" s="1">
        <v>0.4</v>
      </c>
      <c r="AD485" s="1">
        <v>1.0908</v>
      </c>
      <c r="AE485" t="s">
        <v>50</v>
      </c>
      <c r="AF485" t="s">
        <v>50</v>
      </c>
      <c r="AG485" s="1">
        <v>8.3299999999999999E-2</v>
      </c>
      <c r="AH485" s="1">
        <v>0.52339999999999998</v>
      </c>
      <c r="AI485" s="1">
        <v>0.10340000000000001</v>
      </c>
      <c r="AJ485" t="s">
        <v>50</v>
      </c>
      <c r="AK485" t="s">
        <v>50</v>
      </c>
      <c r="AL485" t="s">
        <v>50</v>
      </c>
      <c r="AM485" t="s">
        <v>50</v>
      </c>
      <c r="AN485" s="1">
        <v>3</v>
      </c>
      <c r="AO485" t="s">
        <v>50</v>
      </c>
      <c r="AP485" t="s">
        <v>1415</v>
      </c>
      <c r="AQ485" s="1">
        <v>2239</v>
      </c>
      <c r="AR485" t="s">
        <v>70</v>
      </c>
    </row>
    <row r="486" spans="1:44">
      <c r="A486" s="1">
        <v>36505</v>
      </c>
      <c r="B486" s="1">
        <v>39835</v>
      </c>
      <c r="C486" s="1">
        <v>31729</v>
      </c>
      <c r="D486" t="s">
        <v>1416</v>
      </c>
      <c r="E486" t="s">
        <v>1417</v>
      </c>
      <c r="F486" t="str">
        <f>VLOOKUP(E486,Tabela2[#All],2,FALSE)</f>
        <v>HIDRÁULICO MACIÇO</v>
      </c>
      <c r="G486" t="s">
        <v>1418</v>
      </c>
      <c r="H486" s="1">
        <v>1.76</v>
      </c>
      <c r="I486" s="1">
        <v>1.76</v>
      </c>
      <c r="J486" t="s">
        <v>46</v>
      </c>
      <c r="K486" s="1">
        <v>54.144486999999998</v>
      </c>
      <c r="L486" s="1">
        <v>4</v>
      </c>
      <c r="M486" s="1">
        <v>13.15</v>
      </c>
      <c r="N486" s="1">
        <v>32958</v>
      </c>
      <c r="O486" t="s">
        <v>81</v>
      </c>
      <c r="P486" t="s">
        <v>67</v>
      </c>
      <c r="Q486" t="s">
        <v>68</v>
      </c>
      <c r="R486" t="s">
        <v>50</v>
      </c>
      <c r="S486" t="s">
        <v>50</v>
      </c>
      <c r="T486" s="1">
        <v>13.804551399999999</v>
      </c>
      <c r="U486" s="1">
        <v>13.004063049999999</v>
      </c>
      <c r="V486" s="1">
        <v>4.8391999999999999</v>
      </c>
      <c r="W486" s="1">
        <v>0</v>
      </c>
      <c r="X486" t="s">
        <v>50</v>
      </c>
      <c r="Y486" s="1">
        <v>4.7460000000000002E-2</v>
      </c>
      <c r="Z486" t="s">
        <v>50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s="1">
        <v>0.181251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1417</v>
      </c>
      <c r="AQ486" s="1">
        <v>2478</v>
      </c>
      <c r="AR486" t="s">
        <v>51</v>
      </c>
    </row>
    <row r="487" spans="1:44">
      <c r="A487" s="1">
        <v>113791</v>
      </c>
      <c r="B487" s="1">
        <v>113787</v>
      </c>
      <c r="C487" s="1">
        <v>96290</v>
      </c>
      <c r="D487" t="s">
        <v>1419</v>
      </c>
      <c r="E487" t="s">
        <v>1420</v>
      </c>
      <c r="F487" t="str">
        <f>VLOOKUP(E487,Tabela2[#All],2,FALSE)</f>
        <v>POLIA</v>
      </c>
      <c r="G487" t="s">
        <v>1421</v>
      </c>
      <c r="H487" s="1">
        <v>1.75</v>
      </c>
      <c r="I487" s="1">
        <v>1.94</v>
      </c>
      <c r="J487" t="s">
        <v>46</v>
      </c>
      <c r="K487" s="1">
        <v>63.039150999999997</v>
      </c>
      <c r="L487" s="1">
        <v>5</v>
      </c>
      <c r="M487" s="1">
        <v>15.07</v>
      </c>
      <c r="N487" s="1">
        <v>33014</v>
      </c>
      <c r="O487" t="s">
        <v>1422</v>
      </c>
      <c r="P487" t="s">
        <v>1423</v>
      </c>
      <c r="Q487" t="s">
        <v>1424</v>
      </c>
      <c r="R487" t="s">
        <v>50</v>
      </c>
      <c r="S487" t="s">
        <v>50</v>
      </c>
      <c r="T487" s="1">
        <v>9.5796583200000001</v>
      </c>
      <c r="U487" s="1">
        <v>10.500889320000001</v>
      </c>
      <c r="V487" s="1">
        <v>4.0973600000000001</v>
      </c>
      <c r="W487" s="1">
        <v>0</v>
      </c>
      <c r="X487" t="s">
        <v>50</v>
      </c>
      <c r="Y487" s="1">
        <v>0.01</v>
      </c>
      <c r="Z487" t="s">
        <v>50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s="1">
        <v>0.1386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1425</v>
      </c>
      <c r="AQ487" s="1">
        <v>12368</v>
      </c>
      <c r="AR487" t="s">
        <v>51</v>
      </c>
    </row>
    <row r="488" spans="1:44">
      <c r="A488" s="1">
        <v>31877</v>
      </c>
      <c r="B488" s="1">
        <v>38566</v>
      </c>
      <c r="C488" s="1">
        <v>31203</v>
      </c>
      <c r="D488" t="s">
        <v>1426</v>
      </c>
      <c r="E488" t="s">
        <v>1427</v>
      </c>
      <c r="F488" t="str">
        <f>VLOOKUP(E488,Tabela2[#All],2,FALSE)</f>
        <v>Válvula Nível 3</v>
      </c>
      <c r="G488" t="s">
        <v>1428</v>
      </c>
      <c r="H488" s="1">
        <v>2.2200000000000002</v>
      </c>
      <c r="I488" s="1">
        <v>2.2200000000000002</v>
      </c>
      <c r="J488" t="s">
        <v>46</v>
      </c>
      <c r="K488" s="1">
        <v>51.063830000000003</v>
      </c>
      <c r="L488" s="1">
        <v>3</v>
      </c>
      <c r="M488" s="1">
        <v>15.51</v>
      </c>
      <c r="N488" s="1">
        <v>32900</v>
      </c>
      <c r="O488" t="s">
        <v>47</v>
      </c>
      <c r="P488" t="s">
        <v>1429</v>
      </c>
      <c r="Q488" t="s">
        <v>49</v>
      </c>
      <c r="R488" t="s">
        <v>50</v>
      </c>
      <c r="S488" s="1">
        <v>0.25</v>
      </c>
      <c r="T488" s="1">
        <v>41.964782409999998</v>
      </c>
      <c r="U488" s="1">
        <v>18.698562339999999</v>
      </c>
      <c r="V488" s="1">
        <v>0</v>
      </c>
      <c r="W488" s="1">
        <v>2.6305668</v>
      </c>
      <c r="X488" t="s">
        <v>50</v>
      </c>
      <c r="Y488" s="1">
        <v>0.36249999999999999</v>
      </c>
      <c r="Z488" t="s">
        <v>50</v>
      </c>
      <c r="AA488" s="1">
        <v>4.2321</v>
      </c>
      <c r="AB488" s="1">
        <v>2.4</v>
      </c>
      <c r="AC488" s="1">
        <v>0.7782</v>
      </c>
      <c r="AD488" t="s">
        <v>50</v>
      </c>
      <c r="AE488" t="s">
        <v>50</v>
      </c>
      <c r="AF488" s="1">
        <v>0.23330999999999999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t="s">
        <v>1427</v>
      </c>
      <c r="AQ488" s="1">
        <v>1368</v>
      </c>
      <c r="AR488" t="s">
        <v>51</v>
      </c>
    </row>
    <row r="489" spans="1:44">
      <c r="A489" s="1">
        <v>114816</v>
      </c>
      <c r="B489" s="1">
        <v>114818</v>
      </c>
      <c r="C489" s="1">
        <v>97298</v>
      </c>
      <c r="D489" t="s">
        <v>1430</v>
      </c>
      <c r="E489" t="s">
        <v>1431</v>
      </c>
      <c r="F489" t="str">
        <f>VLOOKUP(E489,Tabela2[#All],2,FALSE)</f>
        <v>Válvula Nível 1</v>
      </c>
      <c r="G489" t="s">
        <v>1432</v>
      </c>
      <c r="H489" s="1">
        <v>1.3320000000000001</v>
      </c>
      <c r="I489" s="1">
        <v>1.3320000000000001</v>
      </c>
      <c r="J489" t="s">
        <v>65</v>
      </c>
      <c r="K489" s="1">
        <v>49.999499999999998</v>
      </c>
      <c r="L489" s="1">
        <v>3.3332999999999999</v>
      </c>
      <c r="M489" s="1">
        <v>9</v>
      </c>
      <c r="N489" s="1">
        <v>36452</v>
      </c>
      <c r="O489" t="s">
        <v>603</v>
      </c>
      <c r="P489" t="s">
        <v>1433</v>
      </c>
      <c r="Q489" t="s">
        <v>76</v>
      </c>
      <c r="R489" s="1">
        <v>0.183</v>
      </c>
      <c r="S489" t="s">
        <v>50</v>
      </c>
      <c r="T489" s="1">
        <v>45.980934019999999</v>
      </c>
      <c r="U489" s="1">
        <v>45.293310390000002</v>
      </c>
      <c r="V489" s="1">
        <v>0</v>
      </c>
      <c r="W489" s="1">
        <v>0</v>
      </c>
      <c r="X489" t="s">
        <v>50</v>
      </c>
      <c r="Y489" t="s">
        <v>50</v>
      </c>
      <c r="Z489" t="s">
        <v>50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50</v>
      </c>
      <c r="AG489" s="1">
        <v>0.2</v>
      </c>
      <c r="AH489" s="1">
        <v>0.75</v>
      </c>
      <c r="AI489" s="1">
        <v>5.8000000000000003E-2</v>
      </c>
      <c r="AJ489" t="s">
        <v>50</v>
      </c>
      <c r="AK489" t="s">
        <v>50</v>
      </c>
      <c r="AL489" t="s">
        <v>50</v>
      </c>
      <c r="AM489" t="s">
        <v>50</v>
      </c>
      <c r="AN489" s="1">
        <v>3.15</v>
      </c>
      <c r="AO489" t="s">
        <v>50</v>
      </c>
      <c r="AP489" t="s">
        <v>1434</v>
      </c>
      <c r="AQ489" s="1">
        <v>12687</v>
      </c>
      <c r="AR489" t="s">
        <v>70</v>
      </c>
    </row>
    <row r="490" spans="1:44">
      <c r="A490" s="1">
        <v>60823</v>
      </c>
      <c r="B490" s="1">
        <v>45402</v>
      </c>
      <c r="C490" s="1">
        <v>40372</v>
      </c>
      <c r="D490" t="s">
        <v>1435</v>
      </c>
      <c r="E490" t="s">
        <v>1436</v>
      </c>
      <c r="F490" t="str">
        <f>VLOOKUP(E490,Tabela2[#All],2,FALSE)</f>
        <v>Válvula Nível 6</v>
      </c>
      <c r="G490" t="s">
        <v>1437</v>
      </c>
      <c r="H490" s="1">
        <v>0.51</v>
      </c>
      <c r="I490" s="1">
        <v>0.51</v>
      </c>
      <c r="J490" t="s">
        <v>65</v>
      </c>
      <c r="K490" s="1">
        <v>65</v>
      </c>
      <c r="L490" s="1">
        <v>14</v>
      </c>
      <c r="M490" s="1">
        <v>10.875</v>
      </c>
      <c r="N490" s="1">
        <v>36441</v>
      </c>
      <c r="O490" t="s">
        <v>66</v>
      </c>
      <c r="P490" t="s">
        <v>1438</v>
      </c>
      <c r="Q490" t="s">
        <v>68</v>
      </c>
      <c r="R490" t="s">
        <v>50</v>
      </c>
      <c r="S490" t="s">
        <v>50</v>
      </c>
      <c r="T490" s="1">
        <v>6.3794684000000004</v>
      </c>
      <c r="U490" s="1">
        <v>6.3794684000000004</v>
      </c>
      <c r="V490" s="1">
        <v>0</v>
      </c>
      <c r="W490" s="1">
        <v>0</v>
      </c>
      <c r="X490" t="s">
        <v>50</v>
      </c>
      <c r="Y490" t="s">
        <v>50</v>
      </c>
      <c r="Z490" t="s">
        <v>50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50</v>
      </c>
      <c r="AG490" s="1">
        <v>0.17857000000000001</v>
      </c>
      <c r="AH490" s="1">
        <v>0.3</v>
      </c>
      <c r="AI490" s="1">
        <v>0.13333</v>
      </c>
      <c r="AJ490" t="s">
        <v>50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t="s">
        <v>1439</v>
      </c>
      <c r="AQ490" s="1">
        <v>2663</v>
      </c>
      <c r="AR490" t="s">
        <v>70</v>
      </c>
    </row>
    <row r="491" spans="1:44">
      <c r="A491" s="1">
        <v>60823</v>
      </c>
      <c r="B491" s="1">
        <v>45402</v>
      </c>
      <c r="C491" s="1">
        <v>40372</v>
      </c>
      <c r="D491" t="s">
        <v>1435</v>
      </c>
      <c r="E491" t="s">
        <v>1436</v>
      </c>
      <c r="F491" t="str">
        <f>VLOOKUP(E491,Tabela2[#All],2,FALSE)</f>
        <v>Válvula Nível 6</v>
      </c>
      <c r="G491" t="s">
        <v>1437</v>
      </c>
      <c r="H491" s="1">
        <v>0.51</v>
      </c>
      <c r="I491" s="1">
        <v>0.51</v>
      </c>
      <c r="J491" t="s">
        <v>65</v>
      </c>
      <c r="K491" s="1">
        <v>65</v>
      </c>
      <c r="L491" s="1">
        <v>14</v>
      </c>
      <c r="M491" s="1">
        <v>10.875</v>
      </c>
      <c r="N491" s="1">
        <v>36441</v>
      </c>
      <c r="O491" t="s">
        <v>66</v>
      </c>
      <c r="P491" t="s">
        <v>890</v>
      </c>
      <c r="Q491" t="s">
        <v>68</v>
      </c>
      <c r="R491" t="s">
        <v>50</v>
      </c>
      <c r="S491" t="s">
        <v>50</v>
      </c>
      <c r="T491" s="1">
        <v>6.3794684000000004</v>
      </c>
      <c r="U491" s="1">
        <v>6.3794684000000004</v>
      </c>
      <c r="V491" s="1">
        <v>0</v>
      </c>
      <c r="W491" s="1">
        <v>0</v>
      </c>
      <c r="X491" t="s">
        <v>50</v>
      </c>
      <c r="Y491" t="s">
        <v>50</v>
      </c>
      <c r="Z491" t="s">
        <v>50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s="1">
        <v>0.17857000000000001</v>
      </c>
      <c r="AH491" s="1">
        <v>0.3</v>
      </c>
      <c r="AI491" s="1">
        <v>0.13333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1439</v>
      </c>
      <c r="AQ491" s="1">
        <v>2663</v>
      </c>
      <c r="AR491" t="s">
        <v>70</v>
      </c>
    </row>
    <row r="492" spans="1:44">
      <c r="A492" s="1">
        <v>60823</v>
      </c>
      <c r="B492" s="1">
        <v>45402</v>
      </c>
      <c r="C492" s="1">
        <v>40372</v>
      </c>
      <c r="D492" t="s">
        <v>1435</v>
      </c>
      <c r="E492" t="s">
        <v>1436</v>
      </c>
      <c r="F492" t="str">
        <f>VLOOKUP(E492,Tabela2[#All],2,FALSE)</f>
        <v>Válvula Nível 6</v>
      </c>
      <c r="G492" t="s">
        <v>1437</v>
      </c>
      <c r="H492" s="1">
        <v>0.51</v>
      </c>
      <c r="I492" s="1">
        <v>0.51</v>
      </c>
      <c r="J492" t="s">
        <v>65</v>
      </c>
      <c r="K492" s="1">
        <v>65</v>
      </c>
      <c r="L492" s="1">
        <v>14</v>
      </c>
      <c r="M492" s="1">
        <v>10.875</v>
      </c>
      <c r="N492" s="1">
        <v>36441</v>
      </c>
      <c r="O492" t="s">
        <v>66</v>
      </c>
      <c r="P492" t="s">
        <v>1014</v>
      </c>
      <c r="Q492" t="s">
        <v>350</v>
      </c>
      <c r="R492" t="s">
        <v>50</v>
      </c>
      <c r="S492" t="s">
        <v>50</v>
      </c>
      <c r="T492" s="1">
        <v>6.3794684000000004</v>
      </c>
      <c r="U492" s="1">
        <v>6.3794684000000004</v>
      </c>
      <c r="V492" s="1">
        <v>0</v>
      </c>
      <c r="W492" s="1">
        <v>0</v>
      </c>
      <c r="X492" t="s">
        <v>50</v>
      </c>
      <c r="Y492" t="s">
        <v>50</v>
      </c>
      <c r="Z492" t="s">
        <v>50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50</v>
      </c>
      <c r="AG492" s="1">
        <v>0.17857000000000001</v>
      </c>
      <c r="AH492" s="1">
        <v>0.3</v>
      </c>
      <c r="AI492" s="1">
        <v>0.13333</v>
      </c>
      <c r="AJ492" t="s">
        <v>50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t="s">
        <v>1439</v>
      </c>
      <c r="AQ492" s="1">
        <v>2663</v>
      </c>
      <c r="AR492" t="s">
        <v>70</v>
      </c>
    </row>
    <row r="493" spans="1:44">
      <c r="A493" s="1">
        <v>60826</v>
      </c>
      <c r="B493" s="1">
        <v>45398</v>
      </c>
      <c r="C493" s="1">
        <v>40368</v>
      </c>
      <c r="D493" t="s">
        <v>1440</v>
      </c>
      <c r="E493" t="s">
        <v>1441</v>
      </c>
      <c r="F493" t="str">
        <f>VLOOKUP(E493,Tabela2[#All],2,FALSE)</f>
        <v>Válvula Nível 6</v>
      </c>
      <c r="G493" t="s">
        <v>1442</v>
      </c>
      <c r="H493" s="1">
        <v>0.55000000000000004</v>
      </c>
      <c r="I493" s="1">
        <v>0.55000000000000004</v>
      </c>
      <c r="J493" t="s">
        <v>65</v>
      </c>
      <c r="K493" s="1">
        <v>65.34</v>
      </c>
      <c r="L493" s="1">
        <v>14</v>
      </c>
      <c r="M493" s="1">
        <v>11.311999999999999</v>
      </c>
      <c r="N493" s="1">
        <v>36441</v>
      </c>
      <c r="O493" t="s">
        <v>66</v>
      </c>
      <c r="P493" t="s">
        <v>890</v>
      </c>
      <c r="Q493" t="s">
        <v>68</v>
      </c>
      <c r="R493" t="s">
        <v>50</v>
      </c>
      <c r="S493" t="s">
        <v>50</v>
      </c>
      <c r="T493" s="1">
        <v>6.0422430599999997</v>
      </c>
      <c r="U493" s="1">
        <v>6.0422430599999997</v>
      </c>
      <c r="V493" s="1">
        <v>0</v>
      </c>
      <c r="W493" s="1">
        <v>0</v>
      </c>
      <c r="X493" t="s">
        <v>50</v>
      </c>
      <c r="Y493" t="s">
        <v>50</v>
      </c>
      <c r="Z493" t="s">
        <v>50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s="1">
        <v>0.22</v>
      </c>
      <c r="AH493" s="1">
        <v>0.3</v>
      </c>
      <c r="AI493" t="s">
        <v>50</v>
      </c>
      <c r="AJ493" t="s">
        <v>50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t="s">
        <v>1443</v>
      </c>
      <c r="AQ493" s="1">
        <v>2662</v>
      </c>
      <c r="AR493" t="s">
        <v>70</v>
      </c>
    </row>
    <row r="494" spans="1:44">
      <c r="A494" s="1">
        <v>60826</v>
      </c>
      <c r="B494" s="1">
        <v>45398</v>
      </c>
      <c r="C494" s="1">
        <v>40368</v>
      </c>
      <c r="D494" t="s">
        <v>1440</v>
      </c>
      <c r="E494" t="s">
        <v>1441</v>
      </c>
      <c r="F494" t="str">
        <f>VLOOKUP(E494,Tabela2[#All],2,FALSE)</f>
        <v>Válvula Nível 6</v>
      </c>
      <c r="G494" t="s">
        <v>1442</v>
      </c>
      <c r="H494" s="1">
        <v>0.55000000000000004</v>
      </c>
      <c r="I494" s="1">
        <v>0.55000000000000004</v>
      </c>
      <c r="J494" t="s">
        <v>65</v>
      </c>
      <c r="K494" s="1">
        <v>65.34</v>
      </c>
      <c r="L494" s="1">
        <v>14</v>
      </c>
      <c r="M494" s="1">
        <v>11.311999999999999</v>
      </c>
      <c r="N494" s="1">
        <v>36441</v>
      </c>
      <c r="O494" t="s">
        <v>66</v>
      </c>
      <c r="P494" t="s">
        <v>1438</v>
      </c>
      <c r="Q494" t="s">
        <v>68</v>
      </c>
      <c r="R494" t="s">
        <v>50</v>
      </c>
      <c r="S494" t="s">
        <v>50</v>
      </c>
      <c r="T494" s="1">
        <v>6.0422430599999997</v>
      </c>
      <c r="U494" s="1">
        <v>6.0422430599999997</v>
      </c>
      <c r="V494" s="1">
        <v>0</v>
      </c>
      <c r="W494" s="1">
        <v>0</v>
      </c>
      <c r="X494" t="s">
        <v>50</v>
      </c>
      <c r="Y494" t="s">
        <v>50</v>
      </c>
      <c r="Z494" t="s">
        <v>50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s="1">
        <v>0.22</v>
      </c>
      <c r="AH494" s="1">
        <v>0.3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t="s">
        <v>1443</v>
      </c>
      <c r="AQ494" s="1">
        <v>2662</v>
      </c>
      <c r="AR494" t="s">
        <v>70</v>
      </c>
    </row>
    <row r="495" spans="1:44">
      <c r="A495" s="1">
        <v>60822</v>
      </c>
      <c r="B495" s="1">
        <v>50238</v>
      </c>
      <c r="C495" s="1">
        <v>44944</v>
      </c>
      <c r="D495" t="s">
        <v>1444</v>
      </c>
      <c r="E495" t="s">
        <v>1445</v>
      </c>
      <c r="F495" t="str">
        <f>VLOOKUP(E495,Tabela2[#All],2,FALSE)</f>
        <v>Válvula Nível 6</v>
      </c>
      <c r="G495" t="s">
        <v>1446</v>
      </c>
      <c r="H495" s="1">
        <v>0.85</v>
      </c>
      <c r="I495" s="1">
        <v>0.85</v>
      </c>
      <c r="J495" t="s">
        <v>65</v>
      </c>
      <c r="K495" s="1">
        <v>63.028244000000001</v>
      </c>
      <c r="L495" s="1">
        <v>6.8570000000000002</v>
      </c>
      <c r="M495" s="1">
        <v>9.2799999999999994</v>
      </c>
      <c r="N495" s="1">
        <v>36441</v>
      </c>
      <c r="O495" t="s">
        <v>66</v>
      </c>
      <c r="P495" t="s">
        <v>1438</v>
      </c>
      <c r="Q495" t="s">
        <v>68</v>
      </c>
      <c r="R495" t="s">
        <v>50</v>
      </c>
      <c r="S495" t="s">
        <v>50</v>
      </c>
      <c r="T495" s="1">
        <v>7.5732237099999997</v>
      </c>
      <c r="U495" s="1">
        <v>7.5732237099999997</v>
      </c>
      <c r="V495" s="1">
        <v>0</v>
      </c>
      <c r="W495" s="1">
        <v>0</v>
      </c>
      <c r="X495" t="s">
        <v>50</v>
      </c>
      <c r="Y495" t="s">
        <v>50</v>
      </c>
      <c r="Z495" t="s">
        <v>50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s="1">
        <v>8.3333000000000004E-2</v>
      </c>
      <c r="AH495" s="1">
        <v>0.3</v>
      </c>
      <c r="AI495" t="s">
        <v>50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1447</v>
      </c>
      <c r="AQ495" s="1">
        <v>2737</v>
      </c>
      <c r="AR495" t="s">
        <v>70</v>
      </c>
    </row>
    <row r="496" spans="1:44">
      <c r="A496" s="1">
        <v>60822</v>
      </c>
      <c r="B496" s="1">
        <v>50238</v>
      </c>
      <c r="C496" s="1">
        <v>44944</v>
      </c>
      <c r="D496" t="s">
        <v>1444</v>
      </c>
      <c r="E496" t="s">
        <v>1445</v>
      </c>
      <c r="F496" t="str">
        <f>VLOOKUP(E496,Tabela2[#All],2,FALSE)</f>
        <v>Válvula Nível 6</v>
      </c>
      <c r="G496" t="s">
        <v>1446</v>
      </c>
      <c r="H496" s="1">
        <v>0.85</v>
      </c>
      <c r="I496" s="1">
        <v>0.85</v>
      </c>
      <c r="J496" t="s">
        <v>65</v>
      </c>
      <c r="K496" s="1">
        <v>63.028244000000001</v>
      </c>
      <c r="L496" s="1">
        <v>6.8570000000000002</v>
      </c>
      <c r="M496" s="1">
        <v>9.2799999999999994</v>
      </c>
      <c r="N496" s="1">
        <v>36441</v>
      </c>
      <c r="O496" t="s">
        <v>66</v>
      </c>
      <c r="P496" t="s">
        <v>890</v>
      </c>
      <c r="Q496" t="s">
        <v>68</v>
      </c>
      <c r="R496" t="s">
        <v>50</v>
      </c>
      <c r="S496" t="s">
        <v>50</v>
      </c>
      <c r="T496" s="1">
        <v>7.5732237099999997</v>
      </c>
      <c r="U496" s="1">
        <v>7.5732237099999997</v>
      </c>
      <c r="V496" s="1">
        <v>0</v>
      </c>
      <c r="W496" s="1">
        <v>0</v>
      </c>
      <c r="X496" t="s">
        <v>50</v>
      </c>
      <c r="Y496" t="s">
        <v>50</v>
      </c>
      <c r="Z496" t="s">
        <v>50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50</v>
      </c>
      <c r="AG496" s="1">
        <v>8.3333000000000004E-2</v>
      </c>
      <c r="AH496" s="1">
        <v>0.3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t="s">
        <v>1447</v>
      </c>
      <c r="AQ496" s="1">
        <v>2737</v>
      </c>
      <c r="AR496" t="s">
        <v>70</v>
      </c>
    </row>
    <row r="497" spans="1:44">
      <c r="A497" s="1">
        <v>60825</v>
      </c>
      <c r="B497" s="1">
        <v>45404</v>
      </c>
      <c r="C497" s="1">
        <v>40374</v>
      </c>
      <c r="D497" t="s">
        <v>1448</v>
      </c>
      <c r="E497" t="s">
        <v>1449</v>
      </c>
      <c r="F497" t="str">
        <f>VLOOKUP(E497,Tabela2[#All],2,FALSE)</f>
        <v>Válvula Nível 6</v>
      </c>
      <c r="G497" t="s">
        <v>1450</v>
      </c>
      <c r="H497" s="1">
        <v>0.71</v>
      </c>
      <c r="I497" s="1">
        <v>0.71</v>
      </c>
      <c r="J497" t="s">
        <v>65</v>
      </c>
      <c r="K497" s="1">
        <v>71.169414000000003</v>
      </c>
      <c r="L497" s="1">
        <v>13.7142</v>
      </c>
      <c r="M497" s="1">
        <v>13.141999999999999</v>
      </c>
      <c r="N497" s="1">
        <v>36441</v>
      </c>
      <c r="O497" t="s">
        <v>66</v>
      </c>
      <c r="P497" t="s">
        <v>1438</v>
      </c>
      <c r="Q497" t="s">
        <v>68</v>
      </c>
      <c r="R497" t="s">
        <v>50</v>
      </c>
      <c r="S497" t="s">
        <v>50</v>
      </c>
      <c r="T497" s="1">
        <v>2.4617327499999999</v>
      </c>
      <c r="U497" s="1">
        <v>2.4617327499999999</v>
      </c>
      <c r="V497" s="1">
        <v>0</v>
      </c>
      <c r="W497" s="1">
        <v>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s="1">
        <v>0.1</v>
      </c>
      <c r="AH497" s="1">
        <v>0.3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t="s">
        <v>1451</v>
      </c>
      <c r="AQ497" s="1">
        <v>2665</v>
      </c>
      <c r="AR497" t="s">
        <v>70</v>
      </c>
    </row>
    <row r="498" spans="1:44">
      <c r="A498" s="1">
        <v>60824</v>
      </c>
      <c r="B498" s="1">
        <v>51833</v>
      </c>
      <c r="C498" s="1">
        <v>46317</v>
      </c>
      <c r="D498" t="s">
        <v>1452</v>
      </c>
      <c r="E498" t="s">
        <v>1453</v>
      </c>
      <c r="F498" t="str">
        <f>VLOOKUP(E498,Tabela2[#All],2,FALSE)</f>
        <v>Válvula Nível 6</v>
      </c>
      <c r="G498" t="s">
        <v>1454</v>
      </c>
      <c r="H498" s="1">
        <v>0.67</v>
      </c>
      <c r="I498" s="1">
        <v>0.67</v>
      </c>
      <c r="J498" t="s">
        <v>65</v>
      </c>
      <c r="K498" s="1">
        <v>70.27</v>
      </c>
      <c r="L498" s="1">
        <v>16</v>
      </c>
      <c r="M498" s="1">
        <v>12.75</v>
      </c>
      <c r="N498" s="1">
        <v>36441</v>
      </c>
      <c r="O498" t="s">
        <v>66</v>
      </c>
      <c r="P498" t="s">
        <v>1438</v>
      </c>
      <c r="Q498" t="s">
        <v>68</v>
      </c>
      <c r="R498" t="s">
        <v>50</v>
      </c>
      <c r="S498" t="s">
        <v>50</v>
      </c>
      <c r="T498" s="1">
        <v>5.1506735900000002</v>
      </c>
      <c r="U498" s="1">
        <v>5.1506735900000002</v>
      </c>
      <c r="V498" s="1">
        <v>0</v>
      </c>
      <c r="W498" s="1">
        <v>0</v>
      </c>
      <c r="X498" t="s">
        <v>50</v>
      </c>
      <c r="Y498" t="s">
        <v>50</v>
      </c>
      <c r="Z498" t="s">
        <v>50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50</v>
      </c>
      <c r="AG498" s="1">
        <v>2.1000000000000001E-2</v>
      </c>
      <c r="AH498" s="1">
        <v>0.3</v>
      </c>
      <c r="AI498" t="s">
        <v>50</v>
      </c>
      <c r="AJ498" t="s">
        <v>50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t="s">
        <v>1455</v>
      </c>
      <c r="AQ498" s="1">
        <v>3386</v>
      </c>
      <c r="AR498" t="s">
        <v>70</v>
      </c>
    </row>
    <row r="499" spans="1:44">
      <c r="A499" s="1">
        <v>36844</v>
      </c>
      <c r="B499" s="1">
        <v>32412</v>
      </c>
      <c r="C499" s="1">
        <v>31745</v>
      </c>
      <c r="D499" t="s">
        <v>1456</v>
      </c>
      <c r="E499" t="s">
        <v>1457</v>
      </c>
      <c r="F499" t="str">
        <f>VLOOKUP(E499,Tabela2[#All],2,FALSE)</f>
        <v>Válvula Nível 1</v>
      </c>
      <c r="G499" t="s">
        <v>1458</v>
      </c>
      <c r="H499" s="1">
        <v>5.63</v>
      </c>
      <c r="I499" s="1">
        <v>5.63</v>
      </c>
      <c r="J499" t="s">
        <v>65</v>
      </c>
      <c r="K499" s="1">
        <v>74.149929</v>
      </c>
      <c r="L499" s="1">
        <v>1.666666</v>
      </c>
      <c r="M499" s="1">
        <v>13.666</v>
      </c>
      <c r="N499" s="1">
        <v>36446</v>
      </c>
      <c r="O499" t="s">
        <v>119</v>
      </c>
      <c r="P499" t="s">
        <v>890</v>
      </c>
      <c r="Q499" t="s">
        <v>68</v>
      </c>
      <c r="R499" s="1">
        <v>0.48</v>
      </c>
      <c r="S499" t="s">
        <v>50</v>
      </c>
      <c r="T499" s="1">
        <v>79.161685520000006</v>
      </c>
      <c r="U499" s="1">
        <v>78.954803639999994</v>
      </c>
      <c r="V499" s="1">
        <v>0</v>
      </c>
      <c r="W499" s="1">
        <v>0</v>
      </c>
      <c r="X499" t="s">
        <v>50</v>
      </c>
      <c r="Y499" t="s">
        <v>50</v>
      </c>
      <c r="Z499" t="s">
        <v>50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s="1">
        <v>0.30919999999999997</v>
      </c>
      <c r="AH499" s="1">
        <v>1.5</v>
      </c>
      <c r="AI499" s="1">
        <v>0.17</v>
      </c>
      <c r="AJ499" t="s">
        <v>50</v>
      </c>
      <c r="AK499" s="1">
        <v>1.2</v>
      </c>
      <c r="AL499" t="s">
        <v>50</v>
      </c>
      <c r="AM499" t="s">
        <v>50</v>
      </c>
      <c r="AN499" s="1">
        <v>4.5</v>
      </c>
      <c r="AO499" t="s">
        <v>50</v>
      </c>
      <c r="AP499" t="s">
        <v>1459</v>
      </c>
      <c r="AQ499" s="1">
        <v>1948</v>
      </c>
      <c r="AR499" t="s">
        <v>70</v>
      </c>
    </row>
    <row r="500" spans="1:44">
      <c r="A500" s="1">
        <v>111519</v>
      </c>
      <c r="B500" s="1">
        <v>32412</v>
      </c>
      <c r="C500" s="1">
        <v>31745</v>
      </c>
      <c r="D500" t="s">
        <v>1460</v>
      </c>
      <c r="E500" t="s">
        <v>1457</v>
      </c>
      <c r="F500" t="str">
        <f>VLOOKUP(E500,Tabela2[#All],2,FALSE)</f>
        <v>Válvula Nível 1</v>
      </c>
      <c r="G500" t="s">
        <v>1458</v>
      </c>
      <c r="H500" s="1">
        <v>5.63</v>
      </c>
      <c r="I500" s="1">
        <v>5.63</v>
      </c>
      <c r="J500" t="s">
        <v>65</v>
      </c>
      <c r="K500" s="1">
        <v>74.149929</v>
      </c>
      <c r="L500" s="1">
        <v>1.666666</v>
      </c>
      <c r="M500" s="1">
        <v>13.666</v>
      </c>
      <c r="N500" s="1">
        <v>36446</v>
      </c>
      <c r="O500" t="s">
        <v>119</v>
      </c>
      <c r="P500" t="s">
        <v>1461</v>
      </c>
      <c r="Q500" t="s">
        <v>76</v>
      </c>
      <c r="R500" s="1">
        <v>0.48</v>
      </c>
      <c r="S500" t="s">
        <v>50</v>
      </c>
      <c r="T500" s="1">
        <v>80.3582617</v>
      </c>
      <c r="U500" s="1">
        <v>78.954803639999994</v>
      </c>
      <c r="V500" s="1">
        <v>0</v>
      </c>
      <c r="W500" s="1">
        <v>0</v>
      </c>
      <c r="X500" t="s">
        <v>50</v>
      </c>
      <c r="Y500" t="s">
        <v>50</v>
      </c>
      <c r="Z500" t="s">
        <v>50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s="1">
        <v>0.30919999999999997</v>
      </c>
      <c r="AH500" s="1">
        <v>1.5</v>
      </c>
      <c r="AI500" s="1">
        <v>0.17</v>
      </c>
      <c r="AJ500" t="s">
        <v>50</v>
      </c>
      <c r="AK500" s="1">
        <v>1.2</v>
      </c>
      <c r="AL500" t="s">
        <v>50</v>
      </c>
      <c r="AM500" t="s">
        <v>50</v>
      </c>
      <c r="AN500" s="1">
        <v>4.5</v>
      </c>
      <c r="AO500" t="s">
        <v>50</v>
      </c>
      <c r="AP500" t="s">
        <v>1459</v>
      </c>
      <c r="AQ500" s="1">
        <v>1948</v>
      </c>
      <c r="AR500" t="s">
        <v>70</v>
      </c>
    </row>
    <row r="501" spans="1:44">
      <c r="A501" s="1">
        <v>36848</v>
      </c>
      <c r="B501" s="1">
        <v>39778</v>
      </c>
      <c r="C501" s="1">
        <v>34641</v>
      </c>
      <c r="D501" t="s">
        <v>1462</v>
      </c>
      <c r="E501" t="s">
        <v>1463</v>
      </c>
      <c r="F501" t="str">
        <f>VLOOKUP(E501,Tabela2[#All],2,FALSE)</f>
        <v>SEM FAMÍLIA</v>
      </c>
      <c r="G501" t="s">
        <v>1464</v>
      </c>
      <c r="H501" s="1">
        <v>14.9</v>
      </c>
      <c r="I501" s="1">
        <v>14.9</v>
      </c>
      <c r="J501" t="s">
        <v>46</v>
      </c>
      <c r="K501" s="1">
        <v>69.954127999999997</v>
      </c>
      <c r="L501" s="1">
        <v>1</v>
      </c>
      <c r="M501" s="1">
        <v>21.8</v>
      </c>
      <c r="N501" s="1">
        <v>33012</v>
      </c>
      <c r="O501" t="s">
        <v>1075</v>
      </c>
      <c r="P501" t="s">
        <v>890</v>
      </c>
      <c r="Q501" t="s">
        <v>68</v>
      </c>
      <c r="R501" t="s">
        <v>50</v>
      </c>
      <c r="S501" t="s">
        <v>50</v>
      </c>
      <c r="T501" s="1">
        <v>171.56443818</v>
      </c>
      <c r="U501" s="1">
        <v>112.33591023</v>
      </c>
      <c r="V501" s="1">
        <v>0</v>
      </c>
      <c r="W501" s="1">
        <v>0</v>
      </c>
      <c r="X501" s="1">
        <v>3.7</v>
      </c>
      <c r="Y501" t="s">
        <v>50</v>
      </c>
      <c r="Z501" s="1">
        <v>0.8</v>
      </c>
      <c r="AA501" t="s">
        <v>50</v>
      </c>
      <c r="AB501" t="s">
        <v>50</v>
      </c>
      <c r="AC501" t="s">
        <v>50</v>
      </c>
      <c r="AD501" s="1">
        <v>18</v>
      </c>
      <c r="AE501" t="s">
        <v>50</v>
      </c>
      <c r="AF501" s="1">
        <v>0.99999000000000005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t="s">
        <v>1463</v>
      </c>
      <c r="AQ501" s="1">
        <v>319</v>
      </c>
      <c r="AR501" t="s">
        <v>51</v>
      </c>
    </row>
    <row r="502" spans="1:44">
      <c r="A502" s="1">
        <v>37015</v>
      </c>
      <c r="B502" s="1">
        <v>32382</v>
      </c>
      <c r="C502" s="1">
        <v>31715</v>
      </c>
      <c r="D502" t="s">
        <v>1465</v>
      </c>
      <c r="E502" t="s">
        <v>1157</v>
      </c>
      <c r="F502" t="str">
        <f>VLOOKUP(E502,Tabela2[#All],2,FALSE)</f>
        <v>Válvula Nível 1</v>
      </c>
      <c r="G502" t="s">
        <v>1158</v>
      </c>
      <c r="H502" s="1">
        <v>9.9600000000000009</v>
      </c>
      <c r="I502" s="1">
        <v>9.9600000000000009</v>
      </c>
      <c r="J502" t="s">
        <v>65</v>
      </c>
      <c r="K502" s="1">
        <v>73.024389999999997</v>
      </c>
      <c r="L502" s="1">
        <v>1.5</v>
      </c>
      <c r="M502" s="1">
        <v>20.5</v>
      </c>
      <c r="N502" s="1">
        <v>36446</v>
      </c>
      <c r="O502" t="s">
        <v>119</v>
      </c>
      <c r="P502" t="s">
        <v>67</v>
      </c>
      <c r="Q502" t="s">
        <v>68</v>
      </c>
      <c r="R502" t="s">
        <v>50</v>
      </c>
      <c r="S502" t="s">
        <v>50</v>
      </c>
      <c r="T502" s="1">
        <v>123.82625582</v>
      </c>
      <c r="U502" s="1">
        <v>123.82625582</v>
      </c>
      <c r="V502" s="1">
        <v>0</v>
      </c>
      <c r="W502" s="1">
        <v>0</v>
      </c>
      <c r="X502" t="s">
        <v>50</v>
      </c>
      <c r="Y502" t="s">
        <v>50</v>
      </c>
      <c r="Z502" t="s">
        <v>50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s="1">
        <v>0.55549999999999999</v>
      </c>
      <c r="AH502" s="1">
        <v>1.85</v>
      </c>
      <c r="AI502" t="s">
        <v>50</v>
      </c>
      <c r="AJ502" t="s">
        <v>50</v>
      </c>
      <c r="AK502" t="s">
        <v>50</v>
      </c>
      <c r="AL502" t="s">
        <v>50</v>
      </c>
      <c r="AM502" t="s">
        <v>50</v>
      </c>
      <c r="AN502" s="1">
        <v>9</v>
      </c>
      <c r="AO502" t="s">
        <v>50</v>
      </c>
      <c r="AP502" t="s">
        <v>1159</v>
      </c>
      <c r="AQ502" s="1">
        <v>2236</v>
      </c>
      <c r="AR502" t="s">
        <v>70</v>
      </c>
    </row>
    <row r="503" spans="1:44">
      <c r="A503" s="1">
        <v>37020</v>
      </c>
      <c r="B503" s="1">
        <v>37021</v>
      </c>
      <c r="C503" s="1">
        <v>34815</v>
      </c>
      <c r="D503" t="s">
        <v>1467</v>
      </c>
      <c r="E503" t="s">
        <v>1292</v>
      </c>
      <c r="F503" t="str">
        <f>VLOOKUP(E503,Tabela2[#All],2,FALSE)</f>
        <v>Válvula Nível 1</v>
      </c>
      <c r="G503" t="s">
        <v>1293</v>
      </c>
      <c r="H503" s="1">
        <v>16.475999999999999</v>
      </c>
      <c r="I503" s="1">
        <v>16.475999999999999</v>
      </c>
      <c r="J503" t="s">
        <v>65</v>
      </c>
      <c r="K503" s="1">
        <v>71.740617999999998</v>
      </c>
      <c r="L503" s="1">
        <v>0.66666599999999998</v>
      </c>
      <c r="M503" s="1">
        <v>15.333</v>
      </c>
      <c r="N503" s="1">
        <v>36446</v>
      </c>
      <c r="O503" t="s">
        <v>119</v>
      </c>
      <c r="P503" t="s">
        <v>67</v>
      </c>
      <c r="Q503" t="s">
        <v>68</v>
      </c>
      <c r="R503" t="s">
        <v>50</v>
      </c>
      <c r="S503" t="s">
        <v>50</v>
      </c>
      <c r="T503" s="1">
        <v>250.61646306</v>
      </c>
      <c r="U503" s="1">
        <v>250.61646306</v>
      </c>
      <c r="V503" s="1">
        <v>0</v>
      </c>
      <c r="W503" s="1">
        <v>0</v>
      </c>
      <c r="X503" t="s">
        <v>50</v>
      </c>
      <c r="Y503" t="s">
        <v>50</v>
      </c>
      <c r="Z503" t="s">
        <v>50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50</v>
      </c>
      <c r="AG503" s="1">
        <v>1.667</v>
      </c>
      <c r="AH503" s="1">
        <v>4.6177000000000001</v>
      </c>
      <c r="AI503" s="1">
        <v>0.3</v>
      </c>
      <c r="AJ503" t="s">
        <v>50</v>
      </c>
      <c r="AK503" t="s">
        <v>50</v>
      </c>
      <c r="AL503" t="s">
        <v>50</v>
      </c>
      <c r="AM503" t="s">
        <v>50</v>
      </c>
      <c r="AN503" s="1">
        <v>24</v>
      </c>
      <c r="AO503" t="s">
        <v>50</v>
      </c>
      <c r="AP503" t="s">
        <v>1294</v>
      </c>
      <c r="AQ503" s="1">
        <v>6787</v>
      </c>
      <c r="AR503" t="s">
        <v>70</v>
      </c>
    </row>
    <row r="504" spans="1:44">
      <c r="A504" s="1">
        <v>41991</v>
      </c>
      <c r="B504" s="1">
        <v>42140</v>
      </c>
      <c r="C504" s="1">
        <v>37183</v>
      </c>
      <c r="D504" t="s">
        <v>1468</v>
      </c>
      <c r="E504" t="s">
        <v>1469</v>
      </c>
      <c r="F504" t="str">
        <f>VLOOKUP(E504,Tabela2[#All],2,FALSE)</f>
        <v>SEM FAMÍLIA</v>
      </c>
      <c r="G504" t="s">
        <v>1470</v>
      </c>
      <c r="H504" s="1">
        <v>1.42</v>
      </c>
      <c r="I504" s="1">
        <v>1.42</v>
      </c>
      <c r="J504" t="s">
        <v>46</v>
      </c>
      <c r="K504" s="1">
        <v>49.944873000000001</v>
      </c>
      <c r="L504" s="1">
        <v>6</v>
      </c>
      <c r="M504" s="1">
        <v>18.14</v>
      </c>
      <c r="N504" s="1">
        <v>64899</v>
      </c>
      <c r="O504" t="s">
        <v>106</v>
      </c>
      <c r="P504" t="s">
        <v>117</v>
      </c>
      <c r="Q504" t="s">
        <v>68</v>
      </c>
      <c r="R504" t="s">
        <v>50</v>
      </c>
      <c r="S504" t="s">
        <v>50</v>
      </c>
      <c r="T504" s="1">
        <v>12.016909999999999</v>
      </c>
      <c r="U504" s="1">
        <v>11.54822562</v>
      </c>
      <c r="V504" s="1">
        <v>0</v>
      </c>
      <c r="W504" s="1">
        <v>0</v>
      </c>
      <c r="X504" t="s">
        <v>50</v>
      </c>
      <c r="Y504" s="1">
        <v>0.09</v>
      </c>
      <c r="Z504" t="s">
        <v>50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s="1">
        <v>0.13635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t="s">
        <v>1469</v>
      </c>
      <c r="AQ504" s="1">
        <v>2109</v>
      </c>
      <c r="AR504" t="s">
        <v>51</v>
      </c>
    </row>
    <row r="505" spans="1:44">
      <c r="A505" s="1">
        <v>32317</v>
      </c>
      <c r="B505" s="1">
        <v>41329</v>
      </c>
      <c r="C505" s="1">
        <v>31648</v>
      </c>
      <c r="D505" t="s">
        <v>1471</v>
      </c>
      <c r="E505" t="s">
        <v>1472</v>
      </c>
      <c r="F505" t="str">
        <f>VLOOKUP(E505,Tabela2[#All],2,FALSE)</f>
        <v>CARDAN</v>
      </c>
      <c r="G505" t="s">
        <v>1473</v>
      </c>
      <c r="H505" s="1">
        <v>2.3149999999999999</v>
      </c>
      <c r="I505" s="1">
        <v>2.3149999999999999</v>
      </c>
      <c r="J505" t="s">
        <v>46</v>
      </c>
      <c r="K505" t="s">
        <v>50</v>
      </c>
      <c r="L505" s="1">
        <v>4</v>
      </c>
      <c r="M505" s="1">
        <v>0</v>
      </c>
      <c r="N505" s="1">
        <v>32963</v>
      </c>
      <c r="O505" t="s">
        <v>436</v>
      </c>
      <c r="P505" t="s">
        <v>117</v>
      </c>
      <c r="Q505" t="s">
        <v>68</v>
      </c>
      <c r="R505" t="s">
        <v>50</v>
      </c>
      <c r="S505" s="1">
        <v>0.28999999999999998</v>
      </c>
      <c r="T505" s="1">
        <v>19.200960200000001</v>
      </c>
      <c r="U505" s="1">
        <v>17.667061440000001</v>
      </c>
      <c r="V505" s="1">
        <v>7.0029250000000003</v>
      </c>
      <c r="W505" s="1">
        <v>0</v>
      </c>
      <c r="X505" t="s">
        <v>50</v>
      </c>
      <c r="Y505" s="1">
        <v>6.9199999999999998E-2</v>
      </c>
      <c r="Z505" t="s">
        <v>50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s="1">
        <v>0.20430000000000001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t="s">
        <v>1472</v>
      </c>
      <c r="AQ505" s="1">
        <v>11447</v>
      </c>
      <c r="AR505" t="s">
        <v>1474</v>
      </c>
    </row>
    <row r="506" spans="1:44">
      <c r="A506" s="1">
        <v>32317</v>
      </c>
      <c r="B506" s="1">
        <v>41329</v>
      </c>
      <c r="C506" s="1">
        <v>31648</v>
      </c>
      <c r="D506" t="s">
        <v>1471</v>
      </c>
      <c r="E506" t="s">
        <v>1472</v>
      </c>
      <c r="F506" t="str">
        <f>VLOOKUP(E506,Tabela2[#All],2,FALSE)</f>
        <v>CARDAN</v>
      </c>
      <c r="G506" t="s">
        <v>1475</v>
      </c>
      <c r="H506" s="1">
        <v>2.3149999999999999</v>
      </c>
      <c r="I506" s="1">
        <v>2.3149999999999999</v>
      </c>
      <c r="J506" t="s">
        <v>46</v>
      </c>
      <c r="K506" s="1">
        <v>56.049382999999999</v>
      </c>
      <c r="L506" s="1">
        <v>4</v>
      </c>
      <c r="M506" s="1">
        <v>16.2</v>
      </c>
      <c r="N506" s="1">
        <v>32963</v>
      </c>
      <c r="O506" t="s">
        <v>436</v>
      </c>
      <c r="P506" t="s">
        <v>117</v>
      </c>
      <c r="Q506" t="s">
        <v>68</v>
      </c>
      <c r="R506" t="s">
        <v>50</v>
      </c>
      <c r="S506" s="1">
        <v>0.28999999999999998</v>
      </c>
      <c r="T506" s="1">
        <v>19.200960200000001</v>
      </c>
      <c r="U506" s="1">
        <v>17.667061440000001</v>
      </c>
      <c r="V506" s="1">
        <v>7.0029250000000003</v>
      </c>
      <c r="W506" s="1">
        <v>0</v>
      </c>
      <c r="X506" t="s">
        <v>50</v>
      </c>
      <c r="Y506" s="1">
        <v>6.9199999999999998E-2</v>
      </c>
      <c r="Z506" t="s">
        <v>50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s="1">
        <v>0.20430000000000001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t="s">
        <v>1472</v>
      </c>
      <c r="AQ506" s="1">
        <v>1879</v>
      </c>
      <c r="AR506" t="s">
        <v>51</v>
      </c>
    </row>
    <row r="507" spans="1:44">
      <c r="A507" s="1">
        <v>32319</v>
      </c>
      <c r="B507" s="1">
        <v>41287</v>
      </c>
      <c r="C507" s="1">
        <v>31650</v>
      </c>
      <c r="D507" t="s">
        <v>1476</v>
      </c>
      <c r="E507" t="s">
        <v>1477</v>
      </c>
      <c r="F507" t="str">
        <f>VLOOKUP(E507,Tabela2[#All],2,FALSE)</f>
        <v>CARDAN</v>
      </c>
      <c r="G507" t="s">
        <v>1478</v>
      </c>
      <c r="H507" s="1">
        <v>2.13</v>
      </c>
      <c r="I507" s="1">
        <v>2.13</v>
      </c>
      <c r="J507" t="s">
        <v>46</v>
      </c>
      <c r="K507" s="1">
        <v>54.510058000000001</v>
      </c>
      <c r="L507" s="1">
        <v>4</v>
      </c>
      <c r="M507" s="1">
        <v>15.41</v>
      </c>
      <c r="N507" s="1">
        <v>32963</v>
      </c>
      <c r="O507" t="s">
        <v>436</v>
      </c>
      <c r="P507" t="s">
        <v>117</v>
      </c>
      <c r="Q507" t="s">
        <v>68</v>
      </c>
      <c r="R507" t="s">
        <v>50</v>
      </c>
      <c r="S507" s="1">
        <v>0.19500000000000001</v>
      </c>
      <c r="T507" s="1">
        <v>18.473474</v>
      </c>
      <c r="U507" s="1">
        <v>16.811193370000002</v>
      </c>
      <c r="V507" s="1">
        <v>0</v>
      </c>
      <c r="W507" s="1">
        <v>0</v>
      </c>
      <c r="X507" t="s">
        <v>50</v>
      </c>
      <c r="Y507" s="1">
        <v>8.3000000000000001E-3</v>
      </c>
      <c r="Z507" t="s">
        <v>50</v>
      </c>
      <c r="AA507" t="s">
        <v>50</v>
      </c>
      <c r="AB507" t="s">
        <v>50</v>
      </c>
      <c r="AC507" t="s">
        <v>50</v>
      </c>
      <c r="AD507" s="1">
        <v>0.2</v>
      </c>
      <c r="AE507" t="s">
        <v>50</v>
      </c>
      <c r="AF507" s="1">
        <v>0.24990000000000001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t="s">
        <v>1477</v>
      </c>
      <c r="AQ507" s="1">
        <v>1377</v>
      </c>
      <c r="AR507" t="s">
        <v>51</v>
      </c>
    </row>
    <row r="508" spans="1:44">
      <c r="A508" s="1">
        <v>110621</v>
      </c>
      <c r="B508" s="1">
        <v>110623</v>
      </c>
      <c r="C508" s="1">
        <v>93273</v>
      </c>
      <c r="D508" t="s">
        <v>1480</v>
      </c>
      <c r="E508" t="s">
        <v>1481</v>
      </c>
      <c r="F508" t="str">
        <f>VLOOKUP(E508,Tabela2[#All],2,FALSE)</f>
        <v>CARDAN</v>
      </c>
      <c r="G508" t="s">
        <v>1482</v>
      </c>
      <c r="H508" s="1">
        <v>1.02</v>
      </c>
      <c r="I508" s="1">
        <v>0.9</v>
      </c>
      <c r="J508" t="s">
        <v>46</v>
      </c>
      <c r="K508" s="1">
        <v>52.8</v>
      </c>
      <c r="L508" s="1">
        <v>6</v>
      </c>
      <c r="M508" s="1">
        <v>12.5</v>
      </c>
      <c r="N508" s="1">
        <v>32965</v>
      </c>
      <c r="O508" t="s">
        <v>1483</v>
      </c>
      <c r="P508" t="s">
        <v>117</v>
      </c>
      <c r="Q508" t="s">
        <v>68</v>
      </c>
      <c r="R508" t="s">
        <v>50</v>
      </c>
      <c r="S508" t="s">
        <v>50</v>
      </c>
      <c r="T508" s="1">
        <v>12.978185959999999</v>
      </c>
      <c r="U508" s="1">
        <v>11.326701870000001</v>
      </c>
      <c r="V508" s="1">
        <v>3.4894500000000002</v>
      </c>
      <c r="W508" s="1">
        <v>0</v>
      </c>
      <c r="X508" t="s">
        <v>50</v>
      </c>
      <c r="Y508" s="1">
        <v>0.05</v>
      </c>
      <c r="Z508" t="s">
        <v>50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s="1">
        <v>0.13635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50</v>
      </c>
      <c r="AO508" t="s">
        <v>50</v>
      </c>
      <c r="AP508" t="s">
        <v>1484</v>
      </c>
      <c r="AQ508" s="1">
        <v>11567</v>
      </c>
      <c r="AR508" t="s">
        <v>51</v>
      </c>
    </row>
    <row r="509" spans="1:44">
      <c r="A509" s="1">
        <v>32325</v>
      </c>
      <c r="B509" s="1">
        <v>41288</v>
      </c>
      <c r="C509" s="1">
        <v>31656</v>
      </c>
      <c r="D509" t="s">
        <v>1485</v>
      </c>
      <c r="E509" t="s">
        <v>1486</v>
      </c>
      <c r="F509" t="str">
        <f>VLOOKUP(E509,Tabela2[#All],2,FALSE)</f>
        <v>CARDAN</v>
      </c>
      <c r="G509" t="s">
        <v>1487</v>
      </c>
      <c r="H509" s="1">
        <v>0.9</v>
      </c>
      <c r="I509" s="1">
        <v>0.9</v>
      </c>
      <c r="J509" t="s">
        <v>46</v>
      </c>
      <c r="K509" s="1">
        <v>52.376334</v>
      </c>
      <c r="L509" s="1">
        <v>6</v>
      </c>
      <c r="M509" s="1">
        <v>10.31</v>
      </c>
      <c r="N509" s="1">
        <v>32963</v>
      </c>
      <c r="O509" t="s">
        <v>436</v>
      </c>
      <c r="P509" t="s">
        <v>117</v>
      </c>
      <c r="Q509" t="s">
        <v>68</v>
      </c>
      <c r="R509" t="s">
        <v>50</v>
      </c>
      <c r="S509" t="s">
        <v>50</v>
      </c>
      <c r="T509" s="1">
        <v>11.651636</v>
      </c>
      <c r="U509" s="1">
        <v>10.03856358</v>
      </c>
      <c r="V509" s="1">
        <v>0</v>
      </c>
      <c r="W509" s="1">
        <v>0</v>
      </c>
      <c r="X509" t="s">
        <v>50</v>
      </c>
      <c r="Y509" s="1">
        <v>0.05</v>
      </c>
      <c r="Z509" t="s">
        <v>50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s="1">
        <v>0.13635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50</v>
      </c>
      <c r="AO509" t="s">
        <v>50</v>
      </c>
      <c r="AP509" t="s">
        <v>1486</v>
      </c>
      <c r="AQ509" s="1">
        <v>1378</v>
      </c>
      <c r="AR509" t="s">
        <v>51</v>
      </c>
    </row>
    <row r="510" spans="1:44">
      <c r="A510" s="1">
        <v>32313</v>
      </c>
      <c r="B510" s="1">
        <v>41289</v>
      </c>
      <c r="C510" s="1">
        <v>31644</v>
      </c>
      <c r="D510" t="s">
        <v>1488</v>
      </c>
      <c r="E510" t="s">
        <v>1489</v>
      </c>
      <c r="F510" t="str">
        <f>VLOOKUP(E510,Tabela2[#All],2,FALSE)</f>
        <v>CARDAN</v>
      </c>
      <c r="G510" t="s">
        <v>1490</v>
      </c>
      <c r="H510" s="1">
        <v>1.196</v>
      </c>
      <c r="I510" s="1">
        <v>1.196</v>
      </c>
      <c r="J510" t="s">
        <v>46</v>
      </c>
      <c r="K510" s="1">
        <v>41.086587000000002</v>
      </c>
      <c r="L510" s="1">
        <v>4</v>
      </c>
      <c r="M510" s="1">
        <v>11.78</v>
      </c>
      <c r="N510" s="1">
        <v>32965</v>
      </c>
      <c r="O510" t="s">
        <v>1483</v>
      </c>
      <c r="P510" t="s">
        <v>117</v>
      </c>
      <c r="Q510" t="s">
        <v>68</v>
      </c>
      <c r="R510" t="s">
        <v>50</v>
      </c>
      <c r="S510" s="1">
        <v>0.10299999999999999</v>
      </c>
      <c r="T510" s="1">
        <v>10.85562</v>
      </c>
      <c r="U510" s="1">
        <v>10.80449321</v>
      </c>
      <c r="V510" s="1">
        <v>0</v>
      </c>
      <c r="W510" s="1">
        <v>0</v>
      </c>
      <c r="X510" t="s">
        <v>50</v>
      </c>
      <c r="Y510" s="1">
        <v>1.7999999999999999E-2</v>
      </c>
      <c r="Z510" t="s">
        <v>50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s="1">
        <v>0.17280000000000001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50</v>
      </c>
      <c r="AO510" t="s">
        <v>50</v>
      </c>
      <c r="AP510" t="s">
        <v>1489</v>
      </c>
      <c r="AQ510" s="1">
        <v>1379</v>
      </c>
      <c r="AR510" t="s">
        <v>51</v>
      </c>
    </row>
    <row r="511" spans="1:44">
      <c r="A511" s="1">
        <v>32321</v>
      </c>
      <c r="B511" s="1">
        <v>41290</v>
      </c>
      <c r="C511" s="1">
        <v>31652</v>
      </c>
      <c r="D511" t="s">
        <v>1491</v>
      </c>
      <c r="E511" t="s">
        <v>1492</v>
      </c>
      <c r="F511" t="str">
        <f>VLOOKUP(E511,Tabela2[#All],2,FALSE)</f>
        <v>CARDAN</v>
      </c>
      <c r="G511" t="s">
        <v>1493</v>
      </c>
      <c r="H511" s="1">
        <v>1.111</v>
      </c>
      <c r="I511" s="1">
        <v>1.111</v>
      </c>
      <c r="J511" t="s">
        <v>46</v>
      </c>
      <c r="K511" s="1">
        <v>45.901639000000003</v>
      </c>
      <c r="L511" s="1">
        <v>4</v>
      </c>
      <c r="M511" s="1">
        <v>9.76</v>
      </c>
      <c r="N511" s="1">
        <v>32965</v>
      </c>
      <c r="O511" t="s">
        <v>1483</v>
      </c>
      <c r="P511" t="s">
        <v>117</v>
      </c>
      <c r="Q511" t="s">
        <v>68</v>
      </c>
      <c r="R511" t="s">
        <v>50</v>
      </c>
      <c r="S511" s="1">
        <v>0.10299999999999999</v>
      </c>
      <c r="T511" s="1">
        <v>12.111293999999999</v>
      </c>
      <c r="U511" s="1">
        <v>12.06096876</v>
      </c>
      <c r="V511" s="1">
        <v>0</v>
      </c>
      <c r="W511" s="1">
        <v>0</v>
      </c>
      <c r="X511" t="s">
        <v>50</v>
      </c>
      <c r="Y511" s="1">
        <v>1.66E-2</v>
      </c>
      <c r="Z511" t="s">
        <v>50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s="1">
        <v>0.24990000000000001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50</v>
      </c>
      <c r="AO511" t="s">
        <v>50</v>
      </c>
      <c r="AP511" t="s">
        <v>1492</v>
      </c>
      <c r="AQ511" s="1">
        <v>1380</v>
      </c>
      <c r="AR511" t="s">
        <v>51</v>
      </c>
    </row>
    <row r="512" spans="1:44">
      <c r="A512" s="1">
        <v>32291</v>
      </c>
      <c r="B512" s="1">
        <v>41291</v>
      </c>
      <c r="C512" s="1">
        <v>31620</v>
      </c>
      <c r="D512" t="s">
        <v>1494</v>
      </c>
      <c r="E512" t="s">
        <v>1495</v>
      </c>
      <c r="F512" t="str">
        <f>VLOOKUP(E512,Tabela2[#All],2,FALSE)</f>
        <v>CARDAN</v>
      </c>
      <c r="G512" t="s">
        <v>1496</v>
      </c>
      <c r="H512" s="1">
        <v>1.585</v>
      </c>
      <c r="I512" s="1">
        <v>1.585</v>
      </c>
      <c r="J512" t="s">
        <v>46</v>
      </c>
      <c r="K512" s="1">
        <v>50.076335999999998</v>
      </c>
      <c r="L512" s="1">
        <v>4</v>
      </c>
      <c r="M512" s="1">
        <v>13.1</v>
      </c>
      <c r="N512" s="1">
        <v>32963</v>
      </c>
      <c r="O512" t="s">
        <v>436</v>
      </c>
      <c r="P512" t="s">
        <v>117</v>
      </c>
      <c r="Q512" t="s">
        <v>68</v>
      </c>
      <c r="R512" t="s">
        <v>50</v>
      </c>
      <c r="S512" s="1">
        <v>0.105</v>
      </c>
      <c r="T512" s="1">
        <v>13.601171300000001</v>
      </c>
      <c r="U512" s="1">
        <v>11.937707919999999</v>
      </c>
      <c r="V512" s="1">
        <v>5.334225</v>
      </c>
      <c r="W512" s="1">
        <v>0</v>
      </c>
      <c r="X512" s="1">
        <v>0.95230000000000004</v>
      </c>
      <c r="Y512" s="1">
        <v>8.3000000000000001E-3</v>
      </c>
      <c r="Z512" t="s">
        <v>50</v>
      </c>
      <c r="AA512" t="s">
        <v>50</v>
      </c>
      <c r="AB512" t="s">
        <v>50</v>
      </c>
      <c r="AC512" s="1">
        <v>0.95230000000000004</v>
      </c>
      <c r="AD512" t="s">
        <v>50</v>
      </c>
      <c r="AE512" t="s">
        <v>50</v>
      </c>
      <c r="AF512" s="1">
        <v>0.181251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50</v>
      </c>
      <c r="AO512" t="s">
        <v>50</v>
      </c>
      <c r="AP512" t="s">
        <v>1495</v>
      </c>
      <c r="AQ512" s="1">
        <v>1381</v>
      </c>
      <c r="AR512" t="s">
        <v>51</v>
      </c>
    </row>
    <row r="513" spans="1:44">
      <c r="A513" s="1">
        <v>32311</v>
      </c>
      <c r="B513" s="1">
        <v>41292</v>
      </c>
      <c r="C513" s="1">
        <v>31642</v>
      </c>
      <c r="D513" t="s">
        <v>1497</v>
      </c>
      <c r="E513" t="s">
        <v>1498</v>
      </c>
      <c r="F513" t="str">
        <f>VLOOKUP(E513,Tabela2[#All],2,FALSE)</f>
        <v>CARDAN</v>
      </c>
      <c r="G513" t="s">
        <v>1499</v>
      </c>
      <c r="H513" s="1">
        <v>1.55</v>
      </c>
      <c r="I513" s="1">
        <v>1.55</v>
      </c>
      <c r="J513" t="s">
        <v>46</v>
      </c>
      <c r="K513" s="1">
        <v>48.196469999999998</v>
      </c>
      <c r="L513" s="1">
        <v>4</v>
      </c>
      <c r="M513" s="1">
        <v>13.03</v>
      </c>
      <c r="N513" s="1">
        <v>32963</v>
      </c>
      <c r="O513" t="s">
        <v>436</v>
      </c>
      <c r="P513" t="s">
        <v>117</v>
      </c>
      <c r="Q513" t="s">
        <v>68</v>
      </c>
      <c r="R513" t="s">
        <v>50</v>
      </c>
      <c r="S513" s="1">
        <v>0.108</v>
      </c>
      <c r="T513" s="1">
        <v>14.890169999999999</v>
      </c>
      <c r="U513" s="1">
        <v>14.84845063</v>
      </c>
      <c r="V513" s="1">
        <v>0</v>
      </c>
      <c r="W513" s="1">
        <v>0</v>
      </c>
      <c r="X513" t="s">
        <v>50</v>
      </c>
      <c r="Y513" s="1">
        <v>1.2999999999999999E-2</v>
      </c>
      <c r="Z513" t="s">
        <v>50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s="1">
        <v>0.24990000000000001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t="s">
        <v>1498</v>
      </c>
      <c r="AQ513" s="1">
        <v>1382</v>
      </c>
      <c r="AR513" t="s">
        <v>51</v>
      </c>
    </row>
    <row r="514" spans="1:44">
      <c r="A514" s="1">
        <v>32309</v>
      </c>
      <c r="B514" s="1">
        <v>41293</v>
      </c>
      <c r="C514" s="1">
        <v>31640</v>
      </c>
      <c r="D514" t="s">
        <v>1500</v>
      </c>
      <c r="E514" t="s">
        <v>1501</v>
      </c>
      <c r="F514" t="str">
        <f>VLOOKUP(E514,Tabela2[#All],2,FALSE)</f>
        <v>CARDAN</v>
      </c>
      <c r="G514" t="s">
        <v>1502</v>
      </c>
      <c r="H514" s="1">
        <v>2.42</v>
      </c>
      <c r="I514" s="1">
        <v>2.42</v>
      </c>
      <c r="J514" t="s">
        <v>46</v>
      </c>
      <c r="K514" s="1">
        <v>54.821151</v>
      </c>
      <c r="L514" s="1">
        <v>3</v>
      </c>
      <c r="M514" s="1">
        <v>12.86</v>
      </c>
      <c r="N514" s="1">
        <v>32963</v>
      </c>
      <c r="O514" t="s">
        <v>436</v>
      </c>
      <c r="P514" t="s">
        <v>117</v>
      </c>
      <c r="Q514" t="s">
        <v>68</v>
      </c>
      <c r="R514" t="s">
        <v>50</v>
      </c>
      <c r="S514" s="1">
        <v>0.1</v>
      </c>
      <c r="T514" s="1">
        <v>19.533875599999998</v>
      </c>
      <c r="U514" s="1">
        <v>18.951113289999999</v>
      </c>
      <c r="V514" s="1">
        <v>7.3236999999999997</v>
      </c>
      <c r="W514" s="1">
        <v>0</v>
      </c>
      <c r="X514" t="s">
        <v>50</v>
      </c>
      <c r="Y514" s="1">
        <v>8.3000000000000001E-3</v>
      </c>
      <c r="Z514" t="s">
        <v>50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s="1">
        <v>0.26579999999999998</v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">
        <v>50</v>
      </c>
      <c r="AM514" t="s">
        <v>50</v>
      </c>
      <c r="AN514" t="s">
        <v>50</v>
      </c>
      <c r="AO514" t="s">
        <v>50</v>
      </c>
      <c r="AP514" t="s">
        <v>1501</v>
      </c>
      <c r="AQ514" s="1">
        <v>1383</v>
      </c>
      <c r="AR514" t="s">
        <v>51</v>
      </c>
    </row>
    <row r="515" spans="1:44">
      <c r="A515" s="1">
        <v>32329</v>
      </c>
      <c r="B515" s="1">
        <v>41294</v>
      </c>
      <c r="C515" s="1">
        <v>31661</v>
      </c>
      <c r="D515" t="s">
        <v>1503</v>
      </c>
      <c r="E515" t="s">
        <v>1504</v>
      </c>
      <c r="F515" t="str">
        <f>VLOOKUP(E515,Tabela2[#All],2,FALSE)</f>
        <v>CARDAN</v>
      </c>
      <c r="G515" t="s">
        <v>1505</v>
      </c>
      <c r="H515" s="1">
        <v>2.1829999999999998</v>
      </c>
      <c r="I515" s="1">
        <v>2.1829999999999998</v>
      </c>
      <c r="J515" t="s">
        <v>46</v>
      </c>
      <c r="K515" s="1">
        <v>45</v>
      </c>
      <c r="L515" s="1">
        <v>3</v>
      </c>
      <c r="M515" s="1">
        <v>15</v>
      </c>
      <c r="N515" s="1">
        <v>32963</v>
      </c>
      <c r="O515" t="s">
        <v>436</v>
      </c>
      <c r="P515" t="s">
        <v>117</v>
      </c>
      <c r="Q515" t="s">
        <v>68</v>
      </c>
      <c r="R515" t="s">
        <v>50</v>
      </c>
      <c r="S515" s="1">
        <v>0.12</v>
      </c>
      <c r="T515" s="1">
        <v>19.828287</v>
      </c>
      <c r="U515" s="1">
        <v>19.55274575</v>
      </c>
      <c r="V515" s="1">
        <v>0</v>
      </c>
      <c r="W515" s="1">
        <v>0</v>
      </c>
      <c r="X515" t="s">
        <v>50</v>
      </c>
      <c r="Y515" s="1">
        <v>8.3000000000000001E-3</v>
      </c>
      <c r="Z515" t="s">
        <v>50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s="1">
        <v>0.33329999999999999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50</v>
      </c>
      <c r="AO515" t="s">
        <v>50</v>
      </c>
      <c r="AP515" t="s">
        <v>1504</v>
      </c>
      <c r="AQ515" s="1">
        <v>1384</v>
      </c>
      <c r="AR515" t="s">
        <v>51</v>
      </c>
    </row>
    <row r="516" spans="1:44">
      <c r="A516" s="1">
        <v>109439</v>
      </c>
      <c r="B516" s="1">
        <v>109440</v>
      </c>
      <c r="C516" s="1">
        <v>92091</v>
      </c>
      <c r="D516" t="s">
        <v>1506</v>
      </c>
      <c r="E516" t="s">
        <v>1507</v>
      </c>
      <c r="F516" t="str">
        <f>VLOOKUP(E516,Tabela2[#All],2,FALSE)</f>
        <v>Válvula Nível 3</v>
      </c>
      <c r="G516" t="s">
        <v>1509</v>
      </c>
      <c r="H516" s="1">
        <v>2.5</v>
      </c>
      <c r="I516" s="1">
        <v>2.5</v>
      </c>
      <c r="J516" t="s">
        <v>65</v>
      </c>
      <c r="K516" s="1">
        <v>74.889118999999994</v>
      </c>
      <c r="L516" s="1">
        <v>3.3332999999999999</v>
      </c>
      <c r="M516" s="1">
        <v>11.35</v>
      </c>
      <c r="N516" s="1">
        <v>36441</v>
      </c>
      <c r="O516" t="s">
        <v>66</v>
      </c>
      <c r="P516" t="s">
        <v>1508</v>
      </c>
      <c r="Q516" t="s">
        <v>68</v>
      </c>
      <c r="R516" t="s">
        <v>50</v>
      </c>
      <c r="S516" s="1">
        <v>0.32</v>
      </c>
      <c r="T516" s="1">
        <v>38.86234571</v>
      </c>
      <c r="U516" s="1">
        <v>35.214486770000001</v>
      </c>
      <c r="V516" s="1">
        <v>0</v>
      </c>
      <c r="W516" s="1">
        <v>0</v>
      </c>
      <c r="X516" t="s">
        <v>50</v>
      </c>
      <c r="Y516" t="s">
        <v>50</v>
      </c>
      <c r="Z516" t="s">
        <v>50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s="1">
        <v>0.2</v>
      </c>
      <c r="AH516" s="1">
        <v>1.1499999999999999</v>
      </c>
      <c r="AI516" s="1">
        <v>7.6999999999999999E-2</v>
      </c>
      <c r="AJ516" t="s">
        <v>50</v>
      </c>
      <c r="AK516" t="s">
        <v>50</v>
      </c>
      <c r="AL516" t="s">
        <v>50</v>
      </c>
      <c r="AM516" t="s">
        <v>50</v>
      </c>
      <c r="AN516" s="1">
        <v>4.6500000000000004</v>
      </c>
      <c r="AO516" t="s">
        <v>50</v>
      </c>
      <c r="AP516" t="s">
        <v>1510</v>
      </c>
      <c r="AQ516" s="1">
        <v>14288</v>
      </c>
      <c r="AR516" t="s">
        <v>191</v>
      </c>
    </row>
    <row r="517" spans="1:44">
      <c r="A517" s="1">
        <v>109759</v>
      </c>
      <c r="B517" s="1">
        <v>109760</v>
      </c>
      <c r="C517" s="1">
        <v>92411</v>
      </c>
      <c r="D517" t="s">
        <v>1511</v>
      </c>
      <c r="E517" t="s">
        <v>1512</v>
      </c>
      <c r="F517" t="str">
        <f>VLOOKUP(E517,Tabela2[#All],2,FALSE)</f>
        <v>Válvula Nível 4</v>
      </c>
      <c r="G517" t="s">
        <v>1513</v>
      </c>
      <c r="H517" s="1">
        <v>3.8</v>
      </c>
      <c r="I517" s="1">
        <v>3.8</v>
      </c>
      <c r="J517" t="s">
        <v>65</v>
      </c>
      <c r="K517" s="1">
        <v>78.963730999999996</v>
      </c>
      <c r="L517" s="1">
        <v>4</v>
      </c>
      <c r="M517" s="1">
        <v>15.44</v>
      </c>
      <c r="N517" s="1">
        <v>36441</v>
      </c>
      <c r="O517" t="s">
        <v>66</v>
      </c>
      <c r="P517" t="s">
        <v>1508</v>
      </c>
      <c r="Q517" t="s">
        <v>68</v>
      </c>
      <c r="R517" t="s">
        <v>50</v>
      </c>
      <c r="S517" t="s">
        <v>50</v>
      </c>
      <c r="T517" s="1">
        <v>44.038394099999998</v>
      </c>
      <c r="U517" s="1">
        <v>43.207694099999998</v>
      </c>
      <c r="V517" s="1">
        <v>0</v>
      </c>
      <c r="W517" s="1">
        <v>0</v>
      </c>
      <c r="X517" t="s">
        <v>50</v>
      </c>
      <c r="Y517" t="s">
        <v>50</v>
      </c>
      <c r="Z517" t="s">
        <v>50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50</v>
      </c>
      <c r="AG517" s="1">
        <v>0.25</v>
      </c>
      <c r="AH517" s="1">
        <v>1.25</v>
      </c>
      <c r="AI517" s="1">
        <v>0.1071</v>
      </c>
      <c r="AJ517" t="s">
        <v>50</v>
      </c>
      <c r="AK517" t="s">
        <v>50</v>
      </c>
      <c r="AL517" t="s">
        <v>50</v>
      </c>
      <c r="AM517" t="s">
        <v>50</v>
      </c>
      <c r="AN517" s="1">
        <v>5.25</v>
      </c>
      <c r="AO517" t="s">
        <v>50</v>
      </c>
      <c r="AP517" t="s">
        <v>1514</v>
      </c>
      <c r="AQ517" s="1">
        <v>14290</v>
      </c>
      <c r="AR517" t="s">
        <v>191</v>
      </c>
    </row>
    <row r="518" spans="1:44">
      <c r="A518" s="1">
        <v>113393</v>
      </c>
      <c r="B518" s="1">
        <v>109440</v>
      </c>
      <c r="C518" s="1">
        <v>92091</v>
      </c>
      <c r="D518" t="s">
        <v>1516</v>
      </c>
      <c r="E518" t="s">
        <v>1507</v>
      </c>
      <c r="F518" t="str">
        <f>VLOOKUP(E518,Tabela2[#All],2,FALSE)</f>
        <v>Válvula Nível 3</v>
      </c>
      <c r="G518" t="s">
        <v>1509</v>
      </c>
      <c r="H518" s="1">
        <v>2.5</v>
      </c>
      <c r="I518" s="1">
        <v>2.5</v>
      </c>
      <c r="J518" t="s">
        <v>65</v>
      </c>
      <c r="K518" s="1">
        <v>74.889118999999994</v>
      </c>
      <c r="L518" s="1">
        <v>3.3332999999999999</v>
      </c>
      <c r="M518" s="1">
        <v>11.35</v>
      </c>
      <c r="N518" s="1">
        <v>36441</v>
      </c>
      <c r="O518" t="s">
        <v>66</v>
      </c>
      <c r="P518" t="s">
        <v>1508</v>
      </c>
      <c r="Q518" t="s">
        <v>68</v>
      </c>
      <c r="R518" t="s">
        <v>50</v>
      </c>
      <c r="S518" s="1">
        <v>0.32</v>
      </c>
      <c r="T518" s="1">
        <v>35.214486770000001</v>
      </c>
      <c r="U518" s="1">
        <v>35.214486770000001</v>
      </c>
      <c r="V518" s="1">
        <v>0</v>
      </c>
      <c r="W518" s="1">
        <v>0</v>
      </c>
      <c r="X518" t="s">
        <v>50</v>
      </c>
      <c r="Y518" t="s">
        <v>50</v>
      </c>
      <c r="Z518" t="s">
        <v>50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s="1">
        <v>0.2</v>
      </c>
      <c r="AH518" s="1">
        <v>1.1499999999999999</v>
      </c>
      <c r="AI518" s="1">
        <v>7.6999999999999999E-2</v>
      </c>
      <c r="AJ518" t="s">
        <v>50</v>
      </c>
      <c r="AK518" t="s">
        <v>50</v>
      </c>
      <c r="AL518" t="s">
        <v>50</v>
      </c>
      <c r="AM518" t="s">
        <v>50</v>
      </c>
      <c r="AN518" s="1">
        <v>4.6500000000000004</v>
      </c>
      <c r="AO518" t="s">
        <v>50</v>
      </c>
      <c r="AP518" t="s">
        <v>1510</v>
      </c>
      <c r="AQ518" s="1">
        <v>14288</v>
      </c>
      <c r="AR518" t="s">
        <v>191</v>
      </c>
    </row>
    <row r="519" spans="1:44">
      <c r="A519" s="1">
        <v>44070</v>
      </c>
      <c r="B519" s="1">
        <v>44074</v>
      </c>
      <c r="C519" s="1">
        <v>39126</v>
      </c>
      <c r="D519" t="s">
        <v>1517</v>
      </c>
      <c r="E519" t="s">
        <v>1518</v>
      </c>
      <c r="F519" t="str">
        <f>VLOOKUP(E519,Tabela2[#All],2,FALSE)</f>
        <v xml:space="preserve">PINO  </v>
      </c>
      <c r="G519" t="s">
        <v>1519</v>
      </c>
      <c r="H519" s="1">
        <v>2.06</v>
      </c>
      <c r="I519" s="1">
        <v>2.06</v>
      </c>
      <c r="J519" t="s">
        <v>46</v>
      </c>
      <c r="K519" s="1">
        <v>57.381616000000001</v>
      </c>
      <c r="L519" s="1">
        <v>4</v>
      </c>
      <c r="M519" s="1">
        <v>14.36</v>
      </c>
      <c r="N519" s="1">
        <v>32958</v>
      </c>
      <c r="O519" t="s">
        <v>81</v>
      </c>
      <c r="P519" t="s">
        <v>724</v>
      </c>
      <c r="Q519" t="s">
        <v>49</v>
      </c>
      <c r="R519" t="s">
        <v>50</v>
      </c>
      <c r="S519" t="s">
        <v>50</v>
      </c>
      <c r="T519" s="1">
        <v>20.740150379999999</v>
      </c>
      <c r="U519" s="1">
        <v>13.195261929999999</v>
      </c>
      <c r="V519" s="1">
        <v>5.6361249999999998</v>
      </c>
      <c r="W519" s="1">
        <v>2.4409763999999998</v>
      </c>
      <c r="X519" t="s">
        <v>50</v>
      </c>
      <c r="Y519" s="1">
        <v>0.20330000000000001</v>
      </c>
      <c r="Z519" s="1">
        <v>0.45650000000000002</v>
      </c>
      <c r="AA519" s="1">
        <v>0.375</v>
      </c>
      <c r="AB519" t="s">
        <v>50</v>
      </c>
      <c r="AC519" s="1">
        <v>0.47360000000000002</v>
      </c>
      <c r="AD519" t="s">
        <v>50</v>
      </c>
      <c r="AE519" t="s">
        <v>50</v>
      </c>
      <c r="AF519" s="1">
        <v>0.17499899999999999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50</v>
      </c>
      <c r="AO519" t="s">
        <v>50</v>
      </c>
      <c r="AP519" t="s">
        <v>1520</v>
      </c>
      <c r="AQ519" s="1">
        <v>12008</v>
      </c>
      <c r="AR519" t="s">
        <v>51</v>
      </c>
    </row>
    <row r="520" spans="1:44">
      <c r="A520" s="1">
        <v>66003</v>
      </c>
      <c r="B520" s="1">
        <v>66005</v>
      </c>
      <c r="C520" s="1">
        <v>59956</v>
      </c>
      <c r="D520" t="s">
        <v>1521</v>
      </c>
      <c r="E520" t="s">
        <v>1522</v>
      </c>
      <c r="F520" t="str">
        <f>VLOOKUP(E520,Tabela2[#All],2,FALSE)</f>
        <v>CAMPÂNULA</v>
      </c>
      <c r="G520" t="s">
        <v>1523</v>
      </c>
      <c r="H520" s="1">
        <v>1.32</v>
      </c>
      <c r="I520" s="1">
        <v>1.32</v>
      </c>
      <c r="J520" t="s">
        <v>46</v>
      </c>
      <c r="K520" s="1">
        <v>58.303887000000003</v>
      </c>
      <c r="L520" s="1">
        <v>5</v>
      </c>
      <c r="M520" s="1">
        <v>11.32</v>
      </c>
      <c r="N520" s="1">
        <v>32958</v>
      </c>
      <c r="O520" t="s">
        <v>81</v>
      </c>
      <c r="P520" t="s">
        <v>724</v>
      </c>
      <c r="Q520" t="s">
        <v>49</v>
      </c>
      <c r="R520" t="s">
        <v>50</v>
      </c>
      <c r="S520" t="s">
        <v>50</v>
      </c>
      <c r="T520" s="1">
        <v>15.642347989999999</v>
      </c>
      <c r="U520" s="1">
        <v>8.5265459099999994</v>
      </c>
      <c r="V520" s="1">
        <v>3.5894400000000002</v>
      </c>
      <c r="W520" s="1">
        <v>1.5641208</v>
      </c>
      <c r="X520" t="s">
        <v>50</v>
      </c>
      <c r="Y520" s="1">
        <v>8.7099999999999997E-2</v>
      </c>
      <c r="Z520" s="1">
        <v>0.33300000000000002</v>
      </c>
      <c r="AA520" s="1">
        <v>0.36143999999999998</v>
      </c>
      <c r="AB520" t="s">
        <v>50</v>
      </c>
      <c r="AC520" s="1">
        <v>0.3004</v>
      </c>
      <c r="AD520" t="s">
        <v>50</v>
      </c>
      <c r="AE520" t="s">
        <v>50</v>
      </c>
      <c r="AF520" s="1">
        <v>0.13830000000000001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50</v>
      </c>
      <c r="AO520" t="s">
        <v>50</v>
      </c>
      <c r="AP520" t="s">
        <v>1524</v>
      </c>
      <c r="AQ520" s="1">
        <v>12007</v>
      </c>
      <c r="AR520" t="s">
        <v>51</v>
      </c>
    </row>
    <row r="521" spans="1:44">
      <c r="A521" s="1">
        <v>84727</v>
      </c>
      <c r="B521" s="1">
        <v>72738</v>
      </c>
      <c r="C521" s="1">
        <v>65809</v>
      </c>
      <c r="D521" t="s">
        <v>1525</v>
      </c>
      <c r="E521" t="s">
        <v>1526</v>
      </c>
      <c r="F521" t="str">
        <f>VLOOKUP(E521,Tabela2[#All],2,FALSE)</f>
        <v>RODINHA</v>
      </c>
      <c r="G521" t="s">
        <v>1527</v>
      </c>
      <c r="H521" s="1">
        <v>1.0760000000000001</v>
      </c>
      <c r="I521" s="1">
        <v>1.0760000000000001</v>
      </c>
      <c r="J521" t="s">
        <v>46</v>
      </c>
      <c r="K521" s="1">
        <v>61.014600999999999</v>
      </c>
      <c r="L521" s="1">
        <v>5</v>
      </c>
      <c r="M521" s="1">
        <v>9.3829999999999991</v>
      </c>
      <c r="N521" s="1">
        <v>32958</v>
      </c>
      <c r="O521" t="s">
        <v>81</v>
      </c>
      <c r="P521" t="s">
        <v>724</v>
      </c>
      <c r="Q521" t="s">
        <v>49</v>
      </c>
      <c r="R521" t="s">
        <v>50</v>
      </c>
      <c r="S521" t="s">
        <v>50</v>
      </c>
      <c r="T521" s="1">
        <v>13.91009079</v>
      </c>
      <c r="U521" s="1">
        <v>7.7003576899999997</v>
      </c>
      <c r="V521" s="1">
        <v>3.0607199999999999</v>
      </c>
      <c r="W521" s="1">
        <v>1.2749954400000001</v>
      </c>
      <c r="X521" t="s">
        <v>50</v>
      </c>
      <c r="Y521" s="1">
        <v>0.59950000000000003</v>
      </c>
      <c r="Z521" t="s">
        <v>50</v>
      </c>
      <c r="AA521" s="1">
        <v>0.57140000000000002</v>
      </c>
      <c r="AB521" t="s">
        <v>50</v>
      </c>
      <c r="AC521" s="1">
        <v>0.34</v>
      </c>
      <c r="AD521" t="s">
        <v>50</v>
      </c>
      <c r="AE521" t="s">
        <v>50</v>
      </c>
      <c r="AF521" s="1">
        <v>0.15</v>
      </c>
      <c r="AG521" t="s">
        <v>50</v>
      </c>
      <c r="AH521" t="s">
        <v>50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s="1">
        <v>0.21</v>
      </c>
      <c r="AO521" t="s">
        <v>50</v>
      </c>
      <c r="AP521" t="s">
        <v>1526</v>
      </c>
      <c r="AQ521" s="1">
        <v>6927</v>
      </c>
      <c r="AR521" t="s">
        <v>51</v>
      </c>
    </row>
    <row r="522" spans="1:44">
      <c r="A522" s="1">
        <v>117252</v>
      </c>
      <c r="B522" s="1">
        <v>72738</v>
      </c>
      <c r="C522" s="1">
        <v>65809</v>
      </c>
      <c r="D522" t="s">
        <v>1528</v>
      </c>
      <c r="E522" t="s">
        <v>1526</v>
      </c>
      <c r="F522" t="str">
        <f>VLOOKUP(E522,Tabela2[#All],2,FALSE)</f>
        <v>RODINHA</v>
      </c>
      <c r="G522" t="s">
        <v>1527</v>
      </c>
      <c r="H522" s="1">
        <v>1.0760000000000001</v>
      </c>
      <c r="I522" s="1">
        <v>1.0760000000000001</v>
      </c>
      <c r="J522" t="s">
        <v>46</v>
      </c>
      <c r="K522" s="1">
        <v>61.014600999999999</v>
      </c>
      <c r="L522" s="1">
        <v>5</v>
      </c>
      <c r="M522" s="1">
        <v>9.3829999999999991</v>
      </c>
      <c r="N522" s="1">
        <v>32958</v>
      </c>
      <c r="O522" t="s">
        <v>81</v>
      </c>
      <c r="P522" t="s">
        <v>724</v>
      </c>
      <c r="Q522" t="s">
        <v>49</v>
      </c>
      <c r="R522" t="s">
        <v>50</v>
      </c>
      <c r="S522" t="s">
        <v>50</v>
      </c>
      <c r="T522" s="1">
        <v>13.91009079</v>
      </c>
      <c r="U522" s="1">
        <v>7.7003576899999997</v>
      </c>
      <c r="V522" s="1">
        <v>3.0607199999999999</v>
      </c>
      <c r="W522" s="1">
        <v>1.2749954400000001</v>
      </c>
      <c r="X522" t="s">
        <v>50</v>
      </c>
      <c r="Y522" s="1">
        <v>0.59950000000000003</v>
      </c>
      <c r="Z522" t="s">
        <v>50</v>
      </c>
      <c r="AA522" s="1">
        <v>0.57140000000000002</v>
      </c>
      <c r="AB522" t="s">
        <v>50</v>
      </c>
      <c r="AC522" s="1">
        <v>0.34</v>
      </c>
      <c r="AD522" t="s">
        <v>50</v>
      </c>
      <c r="AE522" t="s">
        <v>50</v>
      </c>
      <c r="AF522" s="1">
        <v>0.15</v>
      </c>
      <c r="AG522" t="s">
        <v>50</v>
      </c>
      <c r="AH522" t="s">
        <v>50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s="1">
        <v>0.21</v>
      </c>
      <c r="AO522" t="s">
        <v>50</v>
      </c>
      <c r="AP522" t="s">
        <v>1526</v>
      </c>
      <c r="AQ522" s="1">
        <v>6927</v>
      </c>
      <c r="AR522" t="s">
        <v>51</v>
      </c>
    </row>
    <row r="523" spans="1:44">
      <c r="A523" s="1">
        <v>72743</v>
      </c>
      <c r="B523" s="1">
        <v>72738</v>
      </c>
      <c r="C523" s="1">
        <v>65809</v>
      </c>
      <c r="D523" t="s">
        <v>1529</v>
      </c>
      <c r="E523" t="s">
        <v>1526</v>
      </c>
      <c r="F523" t="str">
        <f>VLOOKUP(E523,Tabela2[#All],2,FALSE)</f>
        <v>RODINHA</v>
      </c>
      <c r="G523" t="s">
        <v>1527</v>
      </c>
      <c r="H523" s="1">
        <v>1.0760000000000001</v>
      </c>
      <c r="I523" s="1">
        <v>1.0760000000000001</v>
      </c>
      <c r="J523" t="s">
        <v>46</v>
      </c>
      <c r="K523" s="1">
        <v>61.014600999999999</v>
      </c>
      <c r="L523" s="1">
        <v>5</v>
      </c>
      <c r="M523" s="1">
        <v>9.3829999999999991</v>
      </c>
      <c r="N523" s="1">
        <v>32958</v>
      </c>
      <c r="O523" t="s">
        <v>81</v>
      </c>
      <c r="P523" t="s">
        <v>724</v>
      </c>
      <c r="Q523" t="s">
        <v>49</v>
      </c>
      <c r="R523" t="s">
        <v>50</v>
      </c>
      <c r="S523" t="s">
        <v>50</v>
      </c>
      <c r="T523" s="1">
        <v>13.91009079</v>
      </c>
      <c r="U523" s="1">
        <v>7.7003576899999997</v>
      </c>
      <c r="V523" s="1">
        <v>3.0607199999999999</v>
      </c>
      <c r="W523" s="1">
        <v>1.2749954400000001</v>
      </c>
      <c r="X523" t="s">
        <v>50</v>
      </c>
      <c r="Y523" s="1">
        <v>0.59950000000000003</v>
      </c>
      <c r="Z523" t="s">
        <v>50</v>
      </c>
      <c r="AA523" s="1">
        <v>0.57140000000000002</v>
      </c>
      <c r="AB523" t="s">
        <v>50</v>
      </c>
      <c r="AC523" s="1">
        <v>0.34</v>
      </c>
      <c r="AD523" t="s">
        <v>50</v>
      </c>
      <c r="AE523" t="s">
        <v>50</v>
      </c>
      <c r="AF523" s="1">
        <v>0.15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s="1">
        <v>0.21</v>
      </c>
      <c r="AO523" t="s">
        <v>50</v>
      </c>
      <c r="AP523" t="s">
        <v>1526</v>
      </c>
      <c r="AQ523" s="1">
        <v>6927</v>
      </c>
      <c r="AR523" t="s">
        <v>51</v>
      </c>
    </row>
    <row r="524" spans="1:44">
      <c r="A524" s="1">
        <v>94928</v>
      </c>
      <c r="B524" s="1">
        <v>94929</v>
      </c>
      <c r="C524" s="1">
        <v>86627</v>
      </c>
      <c r="D524" t="s">
        <v>1530</v>
      </c>
      <c r="E524" t="s">
        <v>1021</v>
      </c>
      <c r="F524" t="str">
        <f>VLOOKUP(E524,Tabela2[#All],2,FALSE)</f>
        <v>Válvula Nível 6</v>
      </c>
      <c r="G524" t="s">
        <v>1022</v>
      </c>
      <c r="H524" s="1">
        <v>0.26</v>
      </c>
      <c r="I524" s="1">
        <v>0.26</v>
      </c>
      <c r="J524" t="s">
        <v>65</v>
      </c>
      <c r="K524" s="1">
        <v>63.8</v>
      </c>
      <c r="L524" s="1">
        <v>19.25</v>
      </c>
      <c r="M524" s="1">
        <v>8.75</v>
      </c>
      <c r="N524" s="1">
        <v>36450</v>
      </c>
      <c r="O524" t="s">
        <v>1023</v>
      </c>
      <c r="P524" t="s">
        <v>1031</v>
      </c>
      <c r="Q524" t="s">
        <v>1025</v>
      </c>
      <c r="R524" t="s">
        <v>50</v>
      </c>
      <c r="S524" t="s">
        <v>50</v>
      </c>
      <c r="T524" s="1">
        <v>4.9691553700000002</v>
      </c>
      <c r="U524" s="1">
        <v>2.2716767899999999</v>
      </c>
      <c r="V524" s="1">
        <v>0</v>
      </c>
      <c r="W524" s="1">
        <v>0.30808439999999998</v>
      </c>
      <c r="X524" t="s">
        <v>50</v>
      </c>
      <c r="Y524" s="1">
        <v>4.48E-2</v>
      </c>
      <c r="Z524" s="1">
        <v>0.16120000000000001</v>
      </c>
      <c r="AA524" t="s">
        <v>50</v>
      </c>
      <c r="AB524" t="s">
        <v>50</v>
      </c>
      <c r="AC524" s="1">
        <v>0.19520000000000001</v>
      </c>
      <c r="AD524" t="s">
        <v>50</v>
      </c>
      <c r="AE524" t="s">
        <v>50</v>
      </c>
      <c r="AF524" t="s">
        <v>50</v>
      </c>
      <c r="AG524" s="1">
        <v>2.2700000000000001E-2</v>
      </c>
      <c r="AH524" t="s">
        <v>50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t="s">
        <v>1026</v>
      </c>
      <c r="AQ524" s="1">
        <v>9967</v>
      </c>
      <c r="AR524" t="s">
        <v>178</v>
      </c>
    </row>
    <row r="525" spans="1:44">
      <c r="A525" s="1">
        <v>94928</v>
      </c>
      <c r="B525" s="1">
        <v>94929</v>
      </c>
      <c r="C525" s="1">
        <v>86627</v>
      </c>
      <c r="D525" t="s">
        <v>1530</v>
      </c>
      <c r="E525" t="s">
        <v>1021</v>
      </c>
      <c r="F525" t="str">
        <f>VLOOKUP(E525,Tabela2[#All],2,FALSE)</f>
        <v>Válvula Nível 6</v>
      </c>
      <c r="G525" t="s">
        <v>1022</v>
      </c>
      <c r="H525" s="1">
        <v>0.26</v>
      </c>
      <c r="I525" s="1">
        <v>0.26</v>
      </c>
      <c r="J525" t="s">
        <v>65</v>
      </c>
      <c r="K525" s="1">
        <v>63.8</v>
      </c>
      <c r="L525" s="1">
        <v>19.25</v>
      </c>
      <c r="M525" s="1">
        <v>8.75</v>
      </c>
      <c r="N525" s="1">
        <v>36450</v>
      </c>
      <c r="O525" t="s">
        <v>1023</v>
      </c>
      <c r="P525" t="s">
        <v>1028</v>
      </c>
      <c r="Q525" t="s">
        <v>1025</v>
      </c>
      <c r="R525" t="s">
        <v>50</v>
      </c>
      <c r="S525" t="s">
        <v>50</v>
      </c>
      <c r="T525" s="1">
        <v>4.9691553700000002</v>
      </c>
      <c r="U525" s="1">
        <v>2.2716767899999999</v>
      </c>
      <c r="V525" s="1">
        <v>0</v>
      </c>
      <c r="W525" s="1">
        <v>0.30808439999999998</v>
      </c>
      <c r="X525" t="s">
        <v>50</v>
      </c>
      <c r="Y525" s="1">
        <v>4.48E-2</v>
      </c>
      <c r="Z525" s="1">
        <v>0.16120000000000001</v>
      </c>
      <c r="AA525" t="s">
        <v>50</v>
      </c>
      <c r="AB525" t="s">
        <v>50</v>
      </c>
      <c r="AC525" s="1">
        <v>0.19520000000000001</v>
      </c>
      <c r="AD525" t="s">
        <v>50</v>
      </c>
      <c r="AE525" t="s">
        <v>50</v>
      </c>
      <c r="AF525" t="s">
        <v>50</v>
      </c>
      <c r="AG525" s="1">
        <v>2.2700000000000001E-2</v>
      </c>
      <c r="AH525" t="s">
        <v>50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1026</v>
      </c>
      <c r="AQ525" s="1">
        <v>9967</v>
      </c>
      <c r="AR525" t="s">
        <v>178</v>
      </c>
    </row>
    <row r="526" spans="1:44">
      <c r="A526" s="1">
        <v>94928</v>
      </c>
      <c r="B526" s="1">
        <v>94929</v>
      </c>
      <c r="C526" s="1">
        <v>86627</v>
      </c>
      <c r="D526" t="s">
        <v>1530</v>
      </c>
      <c r="E526" t="s">
        <v>1021</v>
      </c>
      <c r="F526" t="str">
        <f>VLOOKUP(E526,Tabela2[#All],2,FALSE)</f>
        <v>Válvula Nível 6</v>
      </c>
      <c r="G526" t="s">
        <v>1022</v>
      </c>
      <c r="H526" s="1">
        <v>0.26</v>
      </c>
      <c r="I526" s="1">
        <v>0.26</v>
      </c>
      <c r="J526" t="s">
        <v>65</v>
      </c>
      <c r="K526" s="1">
        <v>63.8</v>
      </c>
      <c r="L526" s="1">
        <v>19.25</v>
      </c>
      <c r="M526" s="1">
        <v>8.75</v>
      </c>
      <c r="N526" s="1">
        <v>36450</v>
      </c>
      <c r="O526" t="s">
        <v>1023</v>
      </c>
      <c r="P526" t="s">
        <v>1531</v>
      </c>
      <c r="Q526" t="s">
        <v>1025</v>
      </c>
      <c r="R526" t="s">
        <v>50</v>
      </c>
      <c r="S526" t="s">
        <v>50</v>
      </c>
      <c r="T526" s="1">
        <v>4.9691553700000002</v>
      </c>
      <c r="U526" s="1">
        <v>2.2716767899999999</v>
      </c>
      <c r="V526" s="1">
        <v>0</v>
      </c>
      <c r="W526" s="1">
        <v>0.30808439999999998</v>
      </c>
      <c r="X526" t="s">
        <v>50</v>
      </c>
      <c r="Y526" s="1">
        <v>4.48E-2</v>
      </c>
      <c r="Z526" s="1">
        <v>0.16120000000000001</v>
      </c>
      <c r="AA526" t="s">
        <v>50</v>
      </c>
      <c r="AB526" t="s">
        <v>50</v>
      </c>
      <c r="AC526" s="1">
        <v>0.19520000000000001</v>
      </c>
      <c r="AD526" t="s">
        <v>50</v>
      </c>
      <c r="AE526" t="s">
        <v>50</v>
      </c>
      <c r="AF526" t="s">
        <v>50</v>
      </c>
      <c r="AG526" s="1">
        <v>2.2700000000000001E-2</v>
      </c>
      <c r="AH526" t="s">
        <v>50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t="s">
        <v>1026</v>
      </c>
      <c r="AQ526" s="1">
        <v>9967</v>
      </c>
      <c r="AR526" t="s">
        <v>178</v>
      </c>
    </row>
    <row r="527" spans="1:44">
      <c r="A527" s="1">
        <v>115449</v>
      </c>
      <c r="B527" s="1">
        <v>107129</v>
      </c>
      <c r="C527" s="1">
        <v>89865</v>
      </c>
      <c r="D527" t="s">
        <v>1532</v>
      </c>
      <c r="E527" t="s">
        <v>1533</v>
      </c>
      <c r="F527" t="str">
        <f>VLOOKUP(E527,Tabela2[#All],2,FALSE)</f>
        <v>PORCA</v>
      </c>
      <c r="G527" t="s">
        <v>1534</v>
      </c>
      <c r="H527" s="1">
        <v>0.56100000000000005</v>
      </c>
      <c r="I527" s="1">
        <v>0.56100000000000005</v>
      </c>
      <c r="J527" t="s">
        <v>46</v>
      </c>
      <c r="K527" s="1">
        <v>53.249803999999997</v>
      </c>
      <c r="L527" s="1">
        <v>8</v>
      </c>
      <c r="M527" s="1">
        <v>12.77</v>
      </c>
      <c r="N527" s="1">
        <v>32901</v>
      </c>
      <c r="O527" t="s">
        <v>534</v>
      </c>
      <c r="P527" t="s">
        <v>1262</v>
      </c>
      <c r="Q527" t="s">
        <v>350</v>
      </c>
      <c r="R527" t="s">
        <v>50</v>
      </c>
      <c r="S527" t="s">
        <v>50</v>
      </c>
      <c r="T527" s="1">
        <v>9.9090104700000001</v>
      </c>
      <c r="U527" s="1">
        <v>5.7128699699999999</v>
      </c>
      <c r="V527" s="1">
        <v>2.3514875000000002</v>
      </c>
      <c r="W527" s="1">
        <v>0</v>
      </c>
      <c r="X527" t="s">
        <v>50</v>
      </c>
      <c r="Y527" s="1">
        <v>2.3E-2</v>
      </c>
      <c r="Z527" t="s">
        <v>50</v>
      </c>
      <c r="AA527" s="1">
        <v>3</v>
      </c>
      <c r="AB527" t="s">
        <v>50</v>
      </c>
      <c r="AC527" t="s">
        <v>50</v>
      </c>
      <c r="AD527" t="s">
        <v>50</v>
      </c>
      <c r="AE527" t="s">
        <v>50</v>
      </c>
      <c r="AF527" s="1">
        <v>9.3899999999999997E-2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1535</v>
      </c>
      <c r="AQ527" s="1">
        <v>10587</v>
      </c>
      <c r="AR527" t="s">
        <v>51</v>
      </c>
    </row>
    <row r="528" spans="1:44">
      <c r="A528" s="1">
        <v>107127</v>
      </c>
      <c r="B528" s="1">
        <v>107129</v>
      </c>
      <c r="C528" s="1">
        <v>89865</v>
      </c>
      <c r="D528" t="s">
        <v>1536</v>
      </c>
      <c r="E528" t="s">
        <v>1533</v>
      </c>
      <c r="F528" t="str">
        <f>VLOOKUP(E528,Tabela2[#All],2,FALSE)</f>
        <v>PORCA</v>
      </c>
      <c r="G528" t="s">
        <v>1534</v>
      </c>
      <c r="H528" s="1">
        <v>0.83199999999999996</v>
      </c>
      <c r="I528" s="1">
        <v>0.83199999999999996</v>
      </c>
      <c r="J528" t="s">
        <v>46</v>
      </c>
      <c r="K528" s="1">
        <v>53.249803999999997</v>
      </c>
      <c r="L528" s="1">
        <v>8</v>
      </c>
      <c r="M528" s="1">
        <v>12.77</v>
      </c>
      <c r="N528" s="1">
        <v>32901</v>
      </c>
      <c r="O528" t="s">
        <v>534</v>
      </c>
      <c r="P528" t="s">
        <v>1262</v>
      </c>
      <c r="Q528" t="s">
        <v>350</v>
      </c>
      <c r="R528" t="s">
        <v>50</v>
      </c>
      <c r="S528" t="s">
        <v>50</v>
      </c>
      <c r="T528" s="1">
        <v>6.1878480099999997</v>
      </c>
      <c r="U528" s="1">
        <v>5.7128699699999999</v>
      </c>
      <c r="V528" s="1">
        <v>2.3514875000000002</v>
      </c>
      <c r="W528" s="1">
        <v>0</v>
      </c>
      <c r="X528" t="s">
        <v>50</v>
      </c>
      <c r="Y528" s="1">
        <v>2.3E-2</v>
      </c>
      <c r="Z528" t="s">
        <v>50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s="1">
        <v>9.3899999999999997E-2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t="s">
        <v>1535</v>
      </c>
      <c r="AQ528" s="1">
        <v>10587</v>
      </c>
      <c r="AR528" t="s">
        <v>51</v>
      </c>
    </row>
    <row r="529" spans="1:44">
      <c r="A529" s="1">
        <v>116072</v>
      </c>
      <c r="B529" s="1">
        <v>107134</v>
      </c>
      <c r="C529" s="1">
        <v>89869</v>
      </c>
      <c r="D529" t="s">
        <v>1537</v>
      </c>
      <c r="E529" t="s">
        <v>1538</v>
      </c>
      <c r="F529" t="str">
        <f>VLOOKUP(E529,Tabela2[#All],2,FALSE)</f>
        <v>EMBOLO</v>
      </c>
      <c r="G529" t="s">
        <v>1539</v>
      </c>
      <c r="H529" s="1">
        <v>0.53700000000000003</v>
      </c>
      <c r="I529" s="1">
        <v>0.53700000000000003</v>
      </c>
      <c r="J529" t="s">
        <v>46</v>
      </c>
      <c r="K529" s="1">
        <v>59.666460999999998</v>
      </c>
      <c r="L529" s="1">
        <v>14</v>
      </c>
      <c r="M529" s="1">
        <v>16.190000000000001</v>
      </c>
      <c r="N529" s="1">
        <v>33009</v>
      </c>
      <c r="O529" t="s">
        <v>74</v>
      </c>
      <c r="P529" t="s">
        <v>1262</v>
      </c>
      <c r="Q529" t="s">
        <v>350</v>
      </c>
      <c r="R529" t="s">
        <v>50</v>
      </c>
      <c r="S529" t="s">
        <v>50</v>
      </c>
      <c r="T529" s="1">
        <v>7.3476812799999998</v>
      </c>
      <c r="U529" s="1">
        <v>4.2534990600000002</v>
      </c>
      <c r="V529" s="1">
        <v>1.8459142857142856</v>
      </c>
      <c r="W529" s="1">
        <v>0</v>
      </c>
      <c r="X529" t="s">
        <v>50</v>
      </c>
      <c r="Y529" s="1">
        <v>2.3E-2</v>
      </c>
      <c r="Z529" t="s">
        <v>50</v>
      </c>
      <c r="AA529" s="1">
        <v>1.64</v>
      </c>
      <c r="AB529" t="s">
        <v>50</v>
      </c>
      <c r="AC529" t="s">
        <v>50</v>
      </c>
      <c r="AD529" t="s">
        <v>50</v>
      </c>
      <c r="AE529" t="s">
        <v>50</v>
      </c>
      <c r="AF529" s="1">
        <v>5.5800000000000002E-2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1540</v>
      </c>
      <c r="AQ529" s="1">
        <v>10588</v>
      </c>
      <c r="AR529" t="s">
        <v>51</v>
      </c>
    </row>
    <row r="530" spans="1:44">
      <c r="A530" s="1">
        <v>107132</v>
      </c>
      <c r="B530" s="1">
        <v>107134</v>
      </c>
      <c r="C530" s="1">
        <v>89869</v>
      </c>
      <c r="D530" t="s">
        <v>1541</v>
      </c>
      <c r="E530" t="s">
        <v>1538</v>
      </c>
      <c r="F530" t="str">
        <f>VLOOKUP(E530,Tabela2[#All],2,FALSE)</f>
        <v>EMBOLO</v>
      </c>
      <c r="G530" t="s">
        <v>1539</v>
      </c>
      <c r="H530" s="1">
        <v>0.69</v>
      </c>
      <c r="I530" s="1">
        <v>0.69</v>
      </c>
      <c r="J530" t="s">
        <v>46</v>
      </c>
      <c r="K530" s="1">
        <v>59.666460999999998</v>
      </c>
      <c r="L530" s="1">
        <v>14</v>
      </c>
      <c r="M530" s="1">
        <v>16.190000000000001</v>
      </c>
      <c r="N530" s="1">
        <v>33009</v>
      </c>
      <c r="O530" t="s">
        <v>74</v>
      </c>
      <c r="P530" t="s">
        <v>1262</v>
      </c>
      <c r="Q530" t="s">
        <v>350</v>
      </c>
      <c r="R530" t="s">
        <v>50</v>
      </c>
      <c r="S530" t="s">
        <v>50</v>
      </c>
      <c r="T530" s="1">
        <v>4.5201473400000003</v>
      </c>
      <c r="U530" s="1">
        <v>4.2534990600000002</v>
      </c>
      <c r="V530" s="1">
        <v>1.8459142857142856</v>
      </c>
      <c r="W530" s="1">
        <v>0</v>
      </c>
      <c r="X530" t="s">
        <v>50</v>
      </c>
      <c r="Y530" s="1">
        <v>2.3E-2</v>
      </c>
      <c r="Z530" t="s">
        <v>50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s="1">
        <v>5.5800000000000002E-2</v>
      </c>
      <c r="AG530" t="s">
        <v>50</v>
      </c>
      <c r="AH530" t="s">
        <v>50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t="s">
        <v>1540</v>
      </c>
      <c r="AQ530" s="1">
        <v>10588</v>
      </c>
      <c r="AR530" t="s">
        <v>51</v>
      </c>
    </row>
    <row r="531" spans="1:44">
      <c r="A531" s="1">
        <v>107137</v>
      </c>
      <c r="B531" s="1">
        <v>107139</v>
      </c>
      <c r="C531" s="1">
        <v>89873</v>
      </c>
      <c r="D531" t="s">
        <v>1542</v>
      </c>
      <c r="E531" t="s">
        <v>1543</v>
      </c>
      <c r="F531" t="str">
        <f>VLOOKUP(E531,Tabela2[#All],2,FALSE)</f>
        <v>BASE</v>
      </c>
      <c r="G531" t="s">
        <v>1544</v>
      </c>
      <c r="H531" s="1">
        <v>2.57</v>
      </c>
      <c r="I531" s="1">
        <v>2.57</v>
      </c>
      <c r="J531" t="s">
        <v>46</v>
      </c>
      <c r="K531" s="1">
        <v>47.797562999999997</v>
      </c>
      <c r="L531" s="1">
        <v>2</v>
      </c>
      <c r="M531" s="1">
        <v>10.67</v>
      </c>
      <c r="N531" s="1">
        <v>32901</v>
      </c>
      <c r="O531" t="s">
        <v>534</v>
      </c>
      <c r="P531" t="s">
        <v>1262</v>
      </c>
      <c r="Q531" t="s">
        <v>350</v>
      </c>
      <c r="R531" t="s">
        <v>50</v>
      </c>
      <c r="S531" t="s">
        <v>50</v>
      </c>
      <c r="T531" s="1">
        <v>20.349876689999999</v>
      </c>
      <c r="U531" s="1">
        <v>19.53540473</v>
      </c>
      <c r="V531" s="1">
        <v>7.3704999999999998</v>
      </c>
      <c r="W531" s="1">
        <v>0</v>
      </c>
      <c r="X531" t="s">
        <v>50</v>
      </c>
      <c r="Y531" s="1">
        <v>7.4999999999999997E-2</v>
      </c>
      <c r="Z531" t="s">
        <v>50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s="1">
        <v>0.40920000000000001</v>
      </c>
      <c r="AG531" t="s">
        <v>50</v>
      </c>
      <c r="AH531" t="s">
        <v>50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t="s">
        <v>1545</v>
      </c>
      <c r="AQ531" s="1">
        <v>10589</v>
      </c>
      <c r="AR531" t="s">
        <v>51</v>
      </c>
    </row>
    <row r="532" spans="1:44">
      <c r="A532" s="1">
        <v>96767</v>
      </c>
      <c r="B532" s="1">
        <v>96769</v>
      </c>
      <c r="C532" s="1">
        <v>88445</v>
      </c>
      <c r="D532" t="s">
        <v>1546</v>
      </c>
      <c r="E532" t="s">
        <v>1547</v>
      </c>
      <c r="F532" t="str">
        <f>VLOOKUP(E532,Tabela2[#All],2,FALSE)</f>
        <v>CARCAÇA DE BOMBA</v>
      </c>
      <c r="G532" t="s">
        <v>1549</v>
      </c>
      <c r="H532" s="1">
        <v>2.2000000000000002</v>
      </c>
      <c r="I532" s="1">
        <v>2.2000000000000002</v>
      </c>
      <c r="J532" t="s">
        <v>46</v>
      </c>
      <c r="K532" s="1">
        <v>59.773370999999997</v>
      </c>
      <c r="L532" s="1">
        <v>5</v>
      </c>
      <c r="M532" s="1">
        <v>17.649999999999999</v>
      </c>
      <c r="N532" s="1">
        <v>53037</v>
      </c>
      <c r="O532" t="s">
        <v>1550</v>
      </c>
      <c r="P532" t="s">
        <v>1548</v>
      </c>
      <c r="Q532" t="s">
        <v>350</v>
      </c>
      <c r="R532" t="s">
        <v>50</v>
      </c>
      <c r="S532" t="s">
        <v>50</v>
      </c>
      <c r="T532" s="1">
        <v>19.51245024</v>
      </c>
      <c r="U532" s="1">
        <v>15.2359486</v>
      </c>
      <c r="V532" s="1">
        <v>4.8408800000000003</v>
      </c>
      <c r="W532" s="1">
        <v>0</v>
      </c>
      <c r="X532" t="s">
        <v>50</v>
      </c>
      <c r="Y532" s="1">
        <v>0.12</v>
      </c>
      <c r="Z532" t="s">
        <v>50</v>
      </c>
      <c r="AA532" t="s">
        <v>50</v>
      </c>
      <c r="AB532" t="s">
        <v>50</v>
      </c>
      <c r="AC532" t="s">
        <v>50</v>
      </c>
      <c r="AD532" s="1">
        <v>1.2</v>
      </c>
      <c r="AE532" t="s">
        <v>50</v>
      </c>
      <c r="AF532" s="1">
        <v>0.18</v>
      </c>
      <c r="AG532" t="s">
        <v>50</v>
      </c>
      <c r="AH532" t="s">
        <v>50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t="s">
        <v>1551</v>
      </c>
      <c r="AQ532" s="1">
        <v>10207</v>
      </c>
      <c r="AR532" t="s">
        <v>51</v>
      </c>
    </row>
    <row r="533" spans="1:44">
      <c r="A533" s="1">
        <v>65618</v>
      </c>
      <c r="B533" s="1">
        <v>65619</v>
      </c>
      <c r="C533" s="1">
        <v>59569</v>
      </c>
      <c r="D533" t="s">
        <v>1552</v>
      </c>
      <c r="E533" t="s">
        <v>296</v>
      </c>
      <c r="F533" t="str">
        <f>VLOOKUP(E533,Tabela2[#All],2,FALSE)</f>
        <v>INSERTO/ FOCINHO DE PORCO</v>
      </c>
      <c r="G533" t="s">
        <v>297</v>
      </c>
      <c r="H533" s="1">
        <v>0.27</v>
      </c>
      <c r="I533" s="1">
        <v>0.27</v>
      </c>
      <c r="J533" t="s">
        <v>46</v>
      </c>
      <c r="K533" s="1">
        <v>64.209664000000004</v>
      </c>
      <c r="L533" s="1">
        <v>28</v>
      </c>
      <c r="M533" s="1">
        <v>12.21</v>
      </c>
      <c r="N533" s="1">
        <v>32958</v>
      </c>
      <c r="O533" t="s">
        <v>81</v>
      </c>
      <c r="P533" t="s">
        <v>724</v>
      </c>
      <c r="Q533" t="s">
        <v>49</v>
      </c>
      <c r="R533" t="s">
        <v>50</v>
      </c>
      <c r="S533" t="s">
        <v>50</v>
      </c>
      <c r="T533" s="1">
        <v>4.1433401400000003</v>
      </c>
      <c r="U533" s="1">
        <v>1.8068689600000001</v>
      </c>
      <c r="V533" s="1">
        <v>0</v>
      </c>
      <c r="W533" s="1">
        <v>0.31993379999999999</v>
      </c>
      <c r="X533" t="s">
        <v>50</v>
      </c>
      <c r="Y533" s="1">
        <v>3.1899999999999998E-2</v>
      </c>
      <c r="Z533" t="s">
        <v>50</v>
      </c>
      <c r="AA533" t="s">
        <v>50</v>
      </c>
      <c r="AB533" s="1">
        <v>0.59289999999999998</v>
      </c>
      <c r="AC533" s="1">
        <v>0.15</v>
      </c>
      <c r="AD533" t="s">
        <v>50</v>
      </c>
      <c r="AE533" t="s">
        <v>50</v>
      </c>
      <c r="AF533" s="1">
        <v>2.5232999999999998E-2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t="s">
        <v>298</v>
      </c>
      <c r="AQ533" s="1">
        <v>8729</v>
      </c>
      <c r="AR533" t="s">
        <v>51</v>
      </c>
    </row>
    <row r="534" spans="1:44">
      <c r="A534" s="1">
        <v>107049</v>
      </c>
      <c r="B534" s="1">
        <v>65619</v>
      </c>
      <c r="C534" s="1">
        <v>59569</v>
      </c>
      <c r="D534" t="s">
        <v>1553</v>
      </c>
      <c r="E534" t="s">
        <v>296</v>
      </c>
      <c r="F534" t="str">
        <f>VLOOKUP(E534,Tabela2[#All],2,FALSE)</f>
        <v>INSERTO/ FOCINHO DE PORCO</v>
      </c>
      <c r="G534" t="s">
        <v>297</v>
      </c>
      <c r="H534" s="1">
        <v>0.27</v>
      </c>
      <c r="I534" s="1">
        <v>0.27</v>
      </c>
      <c r="J534" t="s">
        <v>46</v>
      </c>
      <c r="K534" s="1">
        <v>64.209664000000004</v>
      </c>
      <c r="L534" s="1">
        <v>28</v>
      </c>
      <c r="M534" s="1">
        <v>12.21</v>
      </c>
      <c r="N534" s="1">
        <v>32958</v>
      </c>
      <c r="O534" t="s">
        <v>81</v>
      </c>
      <c r="P534" t="s">
        <v>973</v>
      </c>
      <c r="Q534" t="s">
        <v>49</v>
      </c>
      <c r="R534" t="s">
        <v>50</v>
      </c>
      <c r="S534" t="s">
        <v>50</v>
      </c>
      <c r="T534" s="1">
        <v>4.4349149399999996</v>
      </c>
      <c r="U534" s="1">
        <v>1.8068689600000001</v>
      </c>
      <c r="V534" s="1">
        <v>0</v>
      </c>
      <c r="W534" s="1">
        <v>0.31993379999999999</v>
      </c>
      <c r="X534" t="s">
        <v>50</v>
      </c>
      <c r="Y534" s="1">
        <v>3.1899999999999998E-2</v>
      </c>
      <c r="Z534" t="s">
        <v>50</v>
      </c>
      <c r="AA534" t="s">
        <v>50</v>
      </c>
      <c r="AB534" s="1">
        <v>0.62560000000000004</v>
      </c>
      <c r="AC534" s="1">
        <v>0.15</v>
      </c>
      <c r="AD534" t="s">
        <v>50</v>
      </c>
      <c r="AE534" s="1">
        <v>0.10340000000000001</v>
      </c>
      <c r="AF534" s="1">
        <v>2.5232999999999998E-2</v>
      </c>
      <c r="AG534" t="s">
        <v>50</v>
      </c>
      <c r="AH534" t="s">
        <v>50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t="s">
        <v>298</v>
      </c>
      <c r="AQ534" s="1">
        <v>8729</v>
      </c>
      <c r="AR534" t="s">
        <v>51</v>
      </c>
    </row>
    <row r="535" spans="1:44">
      <c r="A535" s="1">
        <v>107049</v>
      </c>
      <c r="B535" s="1">
        <v>65619</v>
      </c>
      <c r="C535" s="1">
        <v>59569</v>
      </c>
      <c r="D535" t="s">
        <v>1553</v>
      </c>
      <c r="E535" t="s">
        <v>296</v>
      </c>
      <c r="F535" t="str">
        <f>VLOOKUP(E535,Tabela2[#All],2,FALSE)</f>
        <v>INSERTO/ FOCINHO DE PORCO</v>
      </c>
      <c r="G535" t="s">
        <v>297</v>
      </c>
      <c r="H535" s="1">
        <v>0.27</v>
      </c>
      <c r="I535" s="1">
        <v>0.27</v>
      </c>
      <c r="J535" t="s">
        <v>46</v>
      </c>
      <c r="K535" s="1">
        <v>64.209664000000004</v>
      </c>
      <c r="L535" s="1">
        <v>28</v>
      </c>
      <c r="M535" s="1">
        <v>12.21</v>
      </c>
      <c r="N535" s="1">
        <v>32958</v>
      </c>
      <c r="O535" t="s">
        <v>81</v>
      </c>
      <c r="P535" t="s">
        <v>289</v>
      </c>
      <c r="Q535" t="s">
        <v>49</v>
      </c>
      <c r="R535" t="s">
        <v>50</v>
      </c>
      <c r="S535" t="s">
        <v>50</v>
      </c>
      <c r="T535" s="1">
        <v>4.4349149399999996</v>
      </c>
      <c r="U535" s="1">
        <v>1.8068689600000001</v>
      </c>
      <c r="V535" s="1">
        <v>0</v>
      </c>
      <c r="W535" s="1">
        <v>0.31993379999999999</v>
      </c>
      <c r="X535" t="s">
        <v>50</v>
      </c>
      <c r="Y535" s="1">
        <v>3.1899999999999998E-2</v>
      </c>
      <c r="Z535" t="s">
        <v>50</v>
      </c>
      <c r="AA535" t="s">
        <v>50</v>
      </c>
      <c r="AB535" s="1">
        <v>0.62560000000000004</v>
      </c>
      <c r="AC535" s="1">
        <v>0.15</v>
      </c>
      <c r="AD535" t="s">
        <v>50</v>
      </c>
      <c r="AE535" s="1">
        <v>0.10340000000000001</v>
      </c>
      <c r="AF535" s="1">
        <v>2.5232999999999998E-2</v>
      </c>
      <c r="AG535" t="s">
        <v>50</v>
      </c>
      <c r="AH535" t="s">
        <v>50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t="s">
        <v>298</v>
      </c>
      <c r="AQ535" s="1">
        <v>8729</v>
      </c>
      <c r="AR535" t="s">
        <v>51</v>
      </c>
    </row>
    <row r="536" spans="1:44">
      <c r="A536" s="1">
        <v>92668</v>
      </c>
      <c r="B536" s="1">
        <v>92669</v>
      </c>
      <c r="C536" s="1">
        <v>84467</v>
      </c>
      <c r="D536" t="s">
        <v>1554</v>
      </c>
      <c r="E536" t="s">
        <v>1555</v>
      </c>
      <c r="F536" t="str">
        <f>VLOOKUP(E536,Tabela2[#All],2,FALSE)</f>
        <v>Válvula Nível 3</v>
      </c>
      <c r="G536" t="s">
        <v>1556</v>
      </c>
      <c r="H536" s="1">
        <v>1.81</v>
      </c>
      <c r="I536" s="1">
        <v>1.81</v>
      </c>
      <c r="J536" t="s">
        <v>65</v>
      </c>
      <c r="K536" s="1">
        <v>69.769988999999995</v>
      </c>
      <c r="L536" s="1">
        <v>3.5</v>
      </c>
      <c r="M536" s="1">
        <v>9.1300000000000008</v>
      </c>
      <c r="N536" s="1">
        <v>36441</v>
      </c>
      <c r="O536" t="s">
        <v>66</v>
      </c>
      <c r="P536" t="s">
        <v>1508</v>
      </c>
      <c r="Q536" t="s">
        <v>68</v>
      </c>
      <c r="R536" s="1">
        <v>0.13</v>
      </c>
      <c r="S536" t="s">
        <v>50</v>
      </c>
      <c r="T536" s="1">
        <v>25.633227850000001</v>
      </c>
      <c r="U536" s="1">
        <v>24.994849139999999</v>
      </c>
      <c r="V536" s="1">
        <v>0</v>
      </c>
      <c r="W536" s="1">
        <v>0</v>
      </c>
      <c r="X536" t="s">
        <v>50</v>
      </c>
      <c r="Y536" t="s">
        <v>50</v>
      </c>
      <c r="Z536" t="s">
        <v>50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s="1">
        <v>0.16700000000000001</v>
      </c>
      <c r="AH536" s="1">
        <v>0.6</v>
      </c>
      <c r="AI536" s="1">
        <v>0.6</v>
      </c>
      <c r="AJ536" t="s">
        <v>50</v>
      </c>
      <c r="AK536" t="s">
        <v>50</v>
      </c>
      <c r="AL536" t="s">
        <v>50</v>
      </c>
      <c r="AM536" t="s">
        <v>50</v>
      </c>
      <c r="AN536" s="1">
        <v>2.1</v>
      </c>
      <c r="AO536" t="s">
        <v>50</v>
      </c>
      <c r="AP536" t="s">
        <v>1557</v>
      </c>
      <c r="AQ536" s="1">
        <v>14292</v>
      </c>
      <c r="AR536" t="s">
        <v>191</v>
      </c>
    </row>
    <row r="537" spans="1:44">
      <c r="A537" s="1">
        <v>113395</v>
      </c>
      <c r="B537" s="1">
        <v>92669</v>
      </c>
      <c r="C537" s="1">
        <v>84467</v>
      </c>
      <c r="D537" t="s">
        <v>1558</v>
      </c>
      <c r="E537" t="s">
        <v>1555</v>
      </c>
      <c r="F537" t="str">
        <f>VLOOKUP(E537,Tabela2[#All],2,FALSE)</f>
        <v>Válvula Nível 3</v>
      </c>
      <c r="G537" t="s">
        <v>1556</v>
      </c>
      <c r="H537" s="1">
        <v>1.81</v>
      </c>
      <c r="I537" s="1">
        <v>1.81</v>
      </c>
      <c r="J537" t="s">
        <v>65</v>
      </c>
      <c r="K537" s="1">
        <v>69.769988999999995</v>
      </c>
      <c r="L537" s="1">
        <v>3.5</v>
      </c>
      <c r="M537" s="1">
        <v>9.1300000000000008</v>
      </c>
      <c r="N537" s="1">
        <v>36441</v>
      </c>
      <c r="O537" t="s">
        <v>66</v>
      </c>
      <c r="P537" t="s">
        <v>1508</v>
      </c>
      <c r="Q537" t="s">
        <v>68</v>
      </c>
      <c r="R537" s="1">
        <v>0.13</v>
      </c>
      <c r="S537" t="s">
        <v>50</v>
      </c>
      <c r="T537" s="1">
        <v>24.994849139999999</v>
      </c>
      <c r="U537" s="1">
        <v>24.994849139999999</v>
      </c>
      <c r="V537" s="1">
        <v>0</v>
      </c>
      <c r="W537" s="1">
        <v>0</v>
      </c>
      <c r="X537" t="s">
        <v>50</v>
      </c>
      <c r="Y537" t="s">
        <v>50</v>
      </c>
      <c r="Z537" t="s">
        <v>50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s="1">
        <v>0.16700000000000001</v>
      </c>
      <c r="AH537" s="1">
        <v>0.6</v>
      </c>
      <c r="AI537" s="1">
        <v>0.6</v>
      </c>
      <c r="AJ537" t="s">
        <v>50</v>
      </c>
      <c r="AK537" t="s">
        <v>50</v>
      </c>
      <c r="AL537" t="s">
        <v>50</v>
      </c>
      <c r="AM537" t="s">
        <v>50</v>
      </c>
      <c r="AN537" s="1">
        <v>2.1</v>
      </c>
      <c r="AO537" t="s">
        <v>50</v>
      </c>
      <c r="AP537" t="s">
        <v>1557</v>
      </c>
      <c r="AQ537" s="1">
        <v>14292</v>
      </c>
      <c r="AR537" t="s">
        <v>191</v>
      </c>
    </row>
    <row r="538" spans="1:44">
      <c r="A538" s="1">
        <v>62600</v>
      </c>
      <c r="B538" s="1">
        <v>62602</v>
      </c>
      <c r="C538" s="1">
        <v>56653</v>
      </c>
      <c r="D538" t="s">
        <v>1560</v>
      </c>
      <c r="E538" t="s">
        <v>1561</v>
      </c>
      <c r="F538" t="str">
        <f>VLOOKUP(E538,Tabela2[#All],2,FALSE)</f>
        <v>CARCAÇA DE BOMBA</v>
      </c>
      <c r="G538" t="s">
        <v>1562</v>
      </c>
      <c r="H538" s="1">
        <v>1.84</v>
      </c>
      <c r="I538" s="1">
        <v>1.84</v>
      </c>
      <c r="J538" t="s">
        <v>46</v>
      </c>
      <c r="K538" s="1">
        <v>55.198895999999998</v>
      </c>
      <c r="L538" s="1">
        <v>5</v>
      </c>
      <c r="M538" s="1">
        <v>16.667000000000002</v>
      </c>
      <c r="N538" s="1">
        <v>53037</v>
      </c>
      <c r="O538" t="s">
        <v>1550</v>
      </c>
      <c r="P538" t="s">
        <v>1563</v>
      </c>
      <c r="Q538" t="s">
        <v>350</v>
      </c>
      <c r="R538" t="s">
        <v>50</v>
      </c>
      <c r="S538" t="s">
        <v>50</v>
      </c>
      <c r="T538" s="1">
        <v>15.988497929999999</v>
      </c>
      <c r="U538" s="1">
        <v>13.248898519999999</v>
      </c>
      <c r="V538" s="1">
        <v>0</v>
      </c>
      <c r="W538" s="1">
        <v>0</v>
      </c>
      <c r="X538" t="s">
        <v>50</v>
      </c>
      <c r="Y538" s="1">
        <v>0.11509999999999999</v>
      </c>
      <c r="Z538" t="s">
        <v>50</v>
      </c>
      <c r="AA538" t="s">
        <v>50</v>
      </c>
      <c r="AB538" t="s">
        <v>50</v>
      </c>
      <c r="AC538" t="s">
        <v>50</v>
      </c>
      <c r="AD538" s="1">
        <v>0.85709999999999997</v>
      </c>
      <c r="AE538" t="s">
        <v>50</v>
      </c>
      <c r="AF538" s="1">
        <v>0.16350000000000001</v>
      </c>
      <c r="AG538" t="s">
        <v>50</v>
      </c>
      <c r="AH538" t="s">
        <v>50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t="s">
        <v>1564</v>
      </c>
      <c r="AQ538" s="1">
        <v>4667</v>
      </c>
      <c r="AR538" t="s">
        <v>51</v>
      </c>
    </row>
    <row r="539" spans="1:44">
      <c r="A539" s="1">
        <v>62600</v>
      </c>
      <c r="B539" s="1">
        <v>62602</v>
      </c>
      <c r="C539" s="1">
        <v>56653</v>
      </c>
      <c r="D539" t="s">
        <v>1560</v>
      </c>
      <c r="E539" t="s">
        <v>1561</v>
      </c>
      <c r="F539" t="str">
        <f>VLOOKUP(E539,Tabela2[#All],2,FALSE)</f>
        <v>CARCAÇA DE BOMBA</v>
      </c>
      <c r="G539" t="s">
        <v>1562</v>
      </c>
      <c r="H539" s="1">
        <v>1.84</v>
      </c>
      <c r="I539" s="1">
        <v>1.84</v>
      </c>
      <c r="J539" t="s">
        <v>46</v>
      </c>
      <c r="K539" s="1">
        <v>55.198895999999998</v>
      </c>
      <c r="L539" s="1">
        <v>5</v>
      </c>
      <c r="M539" s="1">
        <v>16.667000000000002</v>
      </c>
      <c r="N539" s="1">
        <v>53037</v>
      </c>
      <c r="O539" t="s">
        <v>1550</v>
      </c>
      <c r="P539" t="s">
        <v>1548</v>
      </c>
      <c r="Q539" t="s">
        <v>350</v>
      </c>
      <c r="R539" t="s">
        <v>50</v>
      </c>
      <c r="S539" t="s">
        <v>50</v>
      </c>
      <c r="T539" s="1">
        <v>15.988497929999999</v>
      </c>
      <c r="U539" s="1">
        <v>13.248898519999999</v>
      </c>
      <c r="V539" s="1">
        <v>0</v>
      </c>
      <c r="W539" s="1">
        <v>0</v>
      </c>
      <c r="X539" t="s">
        <v>50</v>
      </c>
      <c r="Y539" s="1">
        <v>0.11509999999999999</v>
      </c>
      <c r="Z539" t="s">
        <v>50</v>
      </c>
      <c r="AA539" t="s">
        <v>50</v>
      </c>
      <c r="AB539" t="s">
        <v>50</v>
      </c>
      <c r="AC539" t="s">
        <v>50</v>
      </c>
      <c r="AD539" s="1">
        <v>0.85709999999999997</v>
      </c>
      <c r="AE539" t="s">
        <v>50</v>
      </c>
      <c r="AF539" s="1">
        <v>0.16350000000000001</v>
      </c>
      <c r="AG539" t="s">
        <v>50</v>
      </c>
      <c r="AH539" t="s">
        <v>50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1564</v>
      </c>
      <c r="AQ539" s="1">
        <v>4667</v>
      </c>
      <c r="AR539" t="s">
        <v>51</v>
      </c>
    </row>
    <row r="540" spans="1:44">
      <c r="A540" s="1">
        <v>113396</v>
      </c>
      <c r="B540" s="1">
        <v>111260</v>
      </c>
      <c r="C540" s="1">
        <v>93891</v>
      </c>
      <c r="D540" t="s">
        <v>1565</v>
      </c>
      <c r="E540" t="s">
        <v>1566</v>
      </c>
      <c r="F540" t="str">
        <f>VLOOKUP(E540,Tabela2[#All],2,FALSE)</f>
        <v>Válvula Nível 3</v>
      </c>
      <c r="G540" t="s">
        <v>1567</v>
      </c>
      <c r="H540" s="1">
        <v>3.5</v>
      </c>
      <c r="I540" s="1">
        <v>3.5</v>
      </c>
      <c r="J540" t="s">
        <v>65</v>
      </c>
      <c r="K540" s="1">
        <v>71.997943000000006</v>
      </c>
      <c r="L540" s="1">
        <v>4</v>
      </c>
      <c r="M540" s="1">
        <v>19.445</v>
      </c>
      <c r="N540" s="1">
        <v>36441</v>
      </c>
      <c r="O540" t="s">
        <v>66</v>
      </c>
      <c r="P540" t="s">
        <v>1508</v>
      </c>
      <c r="Q540" t="s">
        <v>68</v>
      </c>
      <c r="R540" t="s">
        <v>50</v>
      </c>
      <c r="S540" s="1">
        <v>0.28999999999999998</v>
      </c>
      <c r="T540" s="1">
        <v>38.61800753</v>
      </c>
      <c r="U540" s="1">
        <v>38.61800753</v>
      </c>
      <c r="V540" s="1">
        <v>0</v>
      </c>
      <c r="W540" s="1">
        <v>0</v>
      </c>
      <c r="X540" t="s">
        <v>50</v>
      </c>
      <c r="Y540" t="s">
        <v>50</v>
      </c>
      <c r="Z540" t="s">
        <v>50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50</v>
      </c>
      <c r="AG540" s="1">
        <v>0.25</v>
      </c>
      <c r="AH540" s="1">
        <v>1.07</v>
      </c>
      <c r="AI540" s="1">
        <v>0.13200000000000001</v>
      </c>
      <c r="AJ540" t="s">
        <v>50</v>
      </c>
      <c r="AK540" t="s">
        <v>50</v>
      </c>
      <c r="AL540" t="s">
        <v>50</v>
      </c>
      <c r="AM540" t="s">
        <v>50</v>
      </c>
      <c r="AN540" s="1">
        <v>4.05</v>
      </c>
      <c r="AO540" t="s">
        <v>50</v>
      </c>
      <c r="AP540" t="s">
        <v>1568</v>
      </c>
      <c r="AQ540" s="1">
        <v>11627</v>
      </c>
      <c r="AR540" t="s">
        <v>70</v>
      </c>
    </row>
    <row r="541" spans="1:44">
      <c r="A541" s="1">
        <v>42199</v>
      </c>
      <c r="B541" s="1">
        <v>94929</v>
      </c>
      <c r="C541" s="1">
        <v>86627</v>
      </c>
      <c r="D541" t="s">
        <v>1569</v>
      </c>
      <c r="E541" t="s">
        <v>1021</v>
      </c>
      <c r="F541" t="str">
        <f>VLOOKUP(E541,Tabela2[#All],2,FALSE)</f>
        <v>Válvula Nível 6</v>
      </c>
      <c r="G541" t="s">
        <v>1022</v>
      </c>
      <c r="H541" s="1">
        <v>0.26</v>
      </c>
      <c r="I541" s="1">
        <v>0.26</v>
      </c>
      <c r="J541" t="s">
        <v>65</v>
      </c>
      <c r="K541" s="1">
        <v>63.8</v>
      </c>
      <c r="L541" s="1">
        <v>19.25</v>
      </c>
      <c r="M541" s="1">
        <v>8.75</v>
      </c>
      <c r="N541" s="1">
        <v>36450</v>
      </c>
      <c r="O541" t="s">
        <v>1023</v>
      </c>
      <c r="P541" t="s">
        <v>1570</v>
      </c>
      <c r="Q541" t="s">
        <v>1025</v>
      </c>
      <c r="R541" t="s">
        <v>50</v>
      </c>
      <c r="S541" t="s">
        <v>50</v>
      </c>
      <c r="T541" s="1">
        <v>0</v>
      </c>
      <c r="U541" s="1">
        <v>2.2716767899999999</v>
      </c>
      <c r="V541" s="1">
        <v>0</v>
      </c>
      <c r="W541" s="1">
        <v>-1</v>
      </c>
      <c r="X541" t="s">
        <v>50</v>
      </c>
      <c r="Y541" s="1">
        <v>4.48E-2</v>
      </c>
      <c r="Z541" s="1">
        <v>0.16120000000000001</v>
      </c>
      <c r="AA541" t="s">
        <v>50</v>
      </c>
      <c r="AB541" t="s">
        <v>50</v>
      </c>
      <c r="AC541" s="1">
        <v>0.19520000000000001</v>
      </c>
      <c r="AD541" t="s">
        <v>50</v>
      </c>
      <c r="AE541" t="s">
        <v>50</v>
      </c>
      <c r="AF541" t="s">
        <v>50</v>
      </c>
      <c r="AG541" s="1">
        <v>2.2700000000000001E-2</v>
      </c>
      <c r="AH541" t="s">
        <v>50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t="s">
        <v>1026</v>
      </c>
      <c r="AQ541" s="1">
        <v>9967</v>
      </c>
      <c r="AR541" t="s">
        <v>178</v>
      </c>
    </row>
    <row r="542" spans="1:44">
      <c r="A542" s="1">
        <v>42199</v>
      </c>
      <c r="B542" s="1">
        <v>94929</v>
      </c>
      <c r="C542" s="1">
        <v>86627</v>
      </c>
      <c r="D542" t="s">
        <v>1569</v>
      </c>
      <c r="E542" t="s">
        <v>1021</v>
      </c>
      <c r="F542" t="str">
        <f>VLOOKUP(E542,Tabela2[#All],2,FALSE)</f>
        <v>Válvula Nível 6</v>
      </c>
      <c r="G542" t="s">
        <v>1022</v>
      </c>
      <c r="H542" s="1">
        <v>0.26</v>
      </c>
      <c r="I542" s="1">
        <v>0.26</v>
      </c>
      <c r="J542" t="s">
        <v>65</v>
      </c>
      <c r="K542" s="1">
        <v>63.8</v>
      </c>
      <c r="L542" s="1">
        <v>19.25</v>
      </c>
      <c r="M542" s="1">
        <v>8.75</v>
      </c>
      <c r="N542" s="1">
        <v>36450</v>
      </c>
      <c r="O542" t="s">
        <v>1023</v>
      </c>
      <c r="P542" t="s">
        <v>1571</v>
      </c>
      <c r="Q542" t="s">
        <v>350</v>
      </c>
      <c r="R542" t="s">
        <v>50</v>
      </c>
      <c r="S542" t="s">
        <v>50</v>
      </c>
      <c r="T542" s="1">
        <v>0</v>
      </c>
      <c r="U542" s="1">
        <v>2.2716767899999999</v>
      </c>
      <c r="V542" s="1">
        <v>0</v>
      </c>
      <c r="W542" s="1">
        <v>-1</v>
      </c>
      <c r="X542" t="s">
        <v>50</v>
      </c>
      <c r="Y542" s="1">
        <v>4.48E-2</v>
      </c>
      <c r="Z542" s="1">
        <v>0.16120000000000001</v>
      </c>
      <c r="AA542" t="s">
        <v>50</v>
      </c>
      <c r="AB542" t="s">
        <v>50</v>
      </c>
      <c r="AC542" s="1">
        <v>0.19520000000000001</v>
      </c>
      <c r="AD542" t="s">
        <v>50</v>
      </c>
      <c r="AE542" t="s">
        <v>50</v>
      </c>
      <c r="AF542" t="s">
        <v>50</v>
      </c>
      <c r="AG542" s="1">
        <v>2.2700000000000001E-2</v>
      </c>
      <c r="AH542" t="s">
        <v>50</v>
      </c>
      <c r="AI542" t="s">
        <v>50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t="s">
        <v>1026</v>
      </c>
      <c r="AQ542" s="1">
        <v>9967</v>
      </c>
      <c r="AR542" t="s">
        <v>178</v>
      </c>
    </row>
    <row r="543" spans="1:44">
      <c r="A543" s="1">
        <v>42199</v>
      </c>
      <c r="B543" s="1">
        <v>94929</v>
      </c>
      <c r="C543" s="1">
        <v>86627</v>
      </c>
      <c r="D543" t="s">
        <v>1569</v>
      </c>
      <c r="E543" t="s">
        <v>1021</v>
      </c>
      <c r="F543" t="str">
        <f>VLOOKUP(E543,Tabela2[#All],2,FALSE)</f>
        <v>Válvula Nível 6</v>
      </c>
      <c r="G543" t="s">
        <v>1022</v>
      </c>
      <c r="H543" s="1">
        <v>0.26</v>
      </c>
      <c r="I543" s="1">
        <v>0.26</v>
      </c>
      <c r="J543" t="s">
        <v>65</v>
      </c>
      <c r="K543" s="1">
        <v>63.8</v>
      </c>
      <c r="L543" s="1">
        <v>19.25</v>
      </c>
      <c r="M543" s="1">
        <v>8.75</v>
      </c>
      <c r="N543" s="1">
        <v>36450</v>
      </c>
      <c r="O543" t="s">
        <v>1023</v>
      </c>
      <c r="P543" t="s">
        <v>1572</v>
      </c>
      <c r="Q543" t="s">
        <v>1025</v>
      </c>
      <c r="R543" t="s">
        <v>50</v>
      </c>
      <c r="S543" t="s">
        <v>50</v>
      </c>
      <c r="T543" s="1">
        <v>0</v>
      </c>
      <c r="U543" s="1">
        <v>2.2716767899999999</v>
      </c>
      <c r="V543" s="1">
        <v>0</v>
      </c>
      <c r="W543" s="1">
        <v>-1</v>
      </c>
      <c r="X543" t="s">
        <v>50</v>
      </c>
      <c r="Y543" s="1">
        <v>4.48E-2</v>
      </c>
      <c r="Z543" s="1">
        <v>0.16120000000000001</v>
      </c>
      <c r="AA543" t="s">
        <v>50</v>
      </c>
      <c r="AB543" t="s">
        <v>50</v>
      </c>
      <c r="AC543" s="1">
        <v>0.19520000000000001</v>
      </c>
      <c r="AD543" t="s">
        <v>50</v>
      </c>
      <c r="AE543" t="s">
        <v>50</v>
      </c>
      <c r="AF543" t="s">
        <v>50</v>
      </c>
      <c r="AG543" s="1">
        <v>2.2700000000000001E-2</v>
      </c>
      <c r="AH543" t="s">
        <v>50</v>
      </c>
      <c r="AI543" t="s">
        <v>50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t="s">
        <v>1026</v>
      </c>
      <c r="AQ543" s="1">
        <v>9967</v>
      </c>
      <c r="AR543" t="s">
        <v>178</v>
      </c>
    </row>
    <row r="544" spans="1:44">
      <c r="A544" s="1">
        <v>42199</v>
      </c>
      <c r="B544" s="1">
        <v>94929</v>
      </c>
      <c r="C544" s="1">
        <v>86627</v>
      </c>
      <c r="D544" t="s">
        <v>1569</v>
      </c>
      <c r="E544" t="s">
        <v>1021</v>
      </c>
      <c r="F544" t="str">
        <f>VLOOKUP(E544,Tabela2[#All],2,FALSE)</f>
        <v>Válvula Nível 6</v>
      </c>
      <c r="G544" t="s">
        <v>1022</v>
      </c>
      <c r="H544" s="1">
        <v>0.26</v>
      </c>
      <c r="I544" s="1">
        <v>0.26</v>
      </c>
      <c r="J544" t="s">
        <v>65</v>
      </c>
      <c r="K544" s="1">
        <v>63.8</v>
      </c>
      <c r="L544" s="1">
        <v>19.25</v>
      </c>
      <c r="M544" s="1">
        <v>8.75</v>
      </c>
      <c r="N544" s="1">
        <v>36450</v>
      </c>
      <c r="O544" t="s">
        <v>1023</v>
      </c>
      <c r="P544" t="s">
        <v>1573</v>
      </c>
      <c r="Q544" t="s">
        <v>1025</v>
      </c>
      <c r="R544" t="s">
        <v>50</v>
      </c>
      <c r="S544" t="s">
        <v>50</v>
      </c>
      <c r="T544" s="1">
        <v>0</v>
      </c>
      <c r="U544" s="1">
        <v>2.2716767899999999</v>
      </c>
      <c r="V544" s="1">
        <v>0</v>
      </c>
      <c r="W544" s="1">
        <v>-1</v>
      </c>
      <c r="X544" t="s">
        <v>50</v>
      </c>
      <c r="Y544" s="1">
        <v>4.48E-2</v>
      </c>
      <c r="Z544" s="1">
        <v>0.16120000000000001</v>
      </c>
      <c r="AA544" t="s">
        <v>50</v>
      </c>
      <c r="AB544" t="s">
        <v>50</v>
      </c>
      <c r="AC544" s="1">
        <v>0.19520000000000001</v>
      </c>
      <c r="AD544" t="s">
        <v>50</v>
      </c>
      <c r="AE544" t="s">
        <v>50</v>
      </c>
      <c r="AF544" t="s">
        <v>50</v>
      </c>
      <c r="AG544" s="1">
        <v>2.2700000000000001E-2</v>
      </c>
      <c r="AH544" t="s">
        <v>50</v>
      </c>
      <c r="AI544" t="s">
        <v>50</v>
      </c>
      <c r="AJ544" t="s">
        <v>50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t="s">
        <v>1026</v>
      </c>
      <c r="AQ544" s="1">
        <v>9967</v>
      </c>
      <c r="AR544" t="s">
        <v>178</v>
      </c>
    </row>
    <row r="545" spans="1:44">
      <c r="A545" s="1">
        <v>106867</v>
      </c>
      <c r="B545" s="1">
        <v>106868</v>
      </c>
      <c r="C545" s="1">
        <v>89605</v>
      </c>
      <c r="D545" t="s">
        <v>1574</v>
      </c>
      <c r="E545" t="s">
        <v>1575</v>
      </c>
      <c r="F545" t="str">
        <f>VLOOKUP(E545,Tabela2[#All],2,FALSE)</f>
        <v>Válvula Nível 6</v>
      </c>
      <c r="G545" t="s">
        <v>1576</v>
      </c>
      <c r="H545" s="1">
        <v>0.2</v>
      </c>
      <c r="I545" s="1">
        <v>0.21</v>
      </c>
      <c r="J545" t="s">
        <v>65</v>
      </c>
      <c r="K545" s="1">
        <v>57.317073000000001</v>
      </c>
      <c r="L545" s="1">
        <v>22</v>
      </c>
      <c r="M545" s="1">
        <v>9.02</v>
      </c>
      <c r="N545" s="1">
        <v>36450</v>
      </c>
      <c r="O545" t="s">
        <v>1023</v>
      </c>
      <c r="P545" t="s">
        <v>1577</v>
      </c>
      <c r="Q545" t="s">
        <v>1025</v>
      </c>
      <c r="R545" t="s">
        <v>50</v>
      </c>
      <c r="S545" t="s">
        <v>50</v>
      </c>
      <c r="T545" s="1">
        <v>4.08652251</v>
      </c>
      <c r="U545" s="1">
        <v>2.2417429699999998</v>
      </c>
      <c r="V545" s="1">
        <v>0</v>
      </c>
      <c r="W545" s="1">
        <v>0.236988</v>
      </c>
      <c r="X545" t="s">
        <v>50</v>
      </c>
      <c r="Y545" s="1">
        <v>4.48E-2</v>
      </c>
      <c r="Z545" s="1">
        <v>0.16120000000000001</v>
      </c>
      <c r="AA545" t="s">
        <v>50</v>
      </c>
      <c r="AB545" t="s">
        <v>50</v>
      </c>
      <c r="AC545" s="1">
        <v>0.19520000000000001</v>
      </c>
      <c r="AD545" t="s">
        <v>50</v>
      </c>
      <c r="AE545" t="s">
        <v>50</v>
      </c>
      <c r="AF545" t="s">
        <v>50</v>
      </c>
      <c r="AG545" s="1">
        <v>2.5999999999999999E-2</v>
      </c>
      <c r="AH545" s="1">
        <v>0.1</v>
      </c>
      <c r="AI545" t="s">
        <v>50</v>
      </c>
      <c r="AJ545" t="s">
        <v>50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t="s">
        <v>1578</v>
      </c>
      <c r="AQ545" s="1">
        <v>11307</v>
      </c>
      <c r="AR545" t="s">
        <v>191</v>
      </c>
    </row>
    <row r="546" spans="1:44">
      <c r="A546" s="1">
        <v>52945</v>
      </c>
      <c r="B546" s="1">
        <v>52949</v>
      </c>
      <c r="C546" s="1">
        <v>47343</v>
      </c>
      <c r="D546" t="s">
        <v>1579</v>
      </c>
      <c r="E546" t="s">
        <v>1580</v>
      </c>
      <c r="F546" t="str">
        <f>VLOOKUP(E546,Tabela2[#All],2,FALSE)</f>
        <v>PINO CONCHA</v>
      </c>
      <c r="G546" t="s">
        <v>1581</v>
      </c>
      <c r="H546" s="1">
        <v>1.07</v>
      </c>
      <c r="I546" s="1">
        <v>1.07</v>
      </c>
      <c r="J546" t="s">
        <v>46</v>
      </c>
      <c r="K546" s="1">
        <v>53.290622999999997</v>
      </c>
      <c r="L546" s="1">
        <v>5</v>
      </c>
      <c r="M546" s="1">
        <v>17.170000000000002</v>
      </c>
      <c r="N546" s="1">
        <v>32901</v>
      </c>
      <c r="O546" t="s">
        <v>534</v>
      </c>
      <c r="P546" t="s">
        <v>48</v>
      </c>
      <c r="Q546" t="s">
        <v>49</v>
      </c>
      <c r="R546" t="s">
        <v>50</v>
      </c>
      <c r="S546" t="s">
        <v>50</v>
      </c>
      <c r="T546" s="1">
        <v>33.055935409999996</v>
      </c>
      <c r="U546" s="1">
        <v>18.247991219999999</v>
      </c>
      <c r="V546" s="1">
        <v>4.9939</v>
      </c>
      <c r="W546" s="1">
        <v>1.2678858</v>
      </c>
      <c r="X546" s="1">
        <v>0.33</v>
      </c>
      <c r="Y546" s="1">
        <v>0.13500000000000001</v>
      </c>
      <c r="Z546" s="1">
        <v>1.7909999999999999</v>
      </c>
      <c r="AA546" s="1">
        <v>3.3822999999999999</v>
      </c>
      <c r="AB546" t="s">
        <v>50</v>
      </c>
      <c r="AC546" s="1">
        <v>0.4612</v>
      </c>
      <c r="AD546" t="s">
        <v>50</v>
      </c>
      <c r="AE546" t="s">
        <v>50</v>
      </c>
      <c r="AF546" s="1">
        <v>0.19997999999999999</v>
      </c>
      <c r="AG546" t="s">
        <v>50</v>
      </c>
      <c r="AH546" t="s">
        <v>50</v>
      </c>
      <c r="AI546" t="s">
        <v>50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t="s">
        <v>1580</v>
      </c>
      <c r="AQ546" s="1">
        <v>3367</v>
      </c>
      <c r="AR546" t="s">
        <v>51</v>
      </c>
    </row>
    <row r="547" spans="1:44">
      <c r="A547" s="1">
        <v>51830</v>
      </c>
      <c r="B547" s="1">
        <v>51832</v>
      </c>
      <c r="C547" s="1">
        <v>46316</v>
      </c>
      <c r="D547" t="s">
        <v>1582</v>
      </c>
      <c r="E547" t="s">
        <v>1583</v>
      </c>
      <c r="F547" t="str">
        <f>VLOOKUP(E547,Tabela2[#All],2,FALSE)</f>
        <v>PINO CONCHA</v>
      </c>
      <c r="G547" t="s">
        <v>1584</v>
      </c>
      <c r="H547" s="1">
        <v>1.97</v>
      </c>
      <c r="I547" s="1">
        <v>1.97</v>
      </c>
      <c r="J547" t="s">
        <v>46</v>
      </c>
      <c r="K547" s="1">
        <v>54.260528999999998</v>
      </c>
      <c r="L547" s="1">
        <v>4</v>
      </c>
      <c r="M547" s="1">
        <v>20.420000000000002</v>
      </c>
      <c r="N547" s="1">
        <v>32900</v>
      </c>
      <c r="O547" t="s">
        <v>47</v>
      </c>
      <c r="P547" t="s">
        <v>48</v>
      </c>
      <c r="Q547" t="s">
        <v>49</v>
      </c>
      <c r="R547" t="s">
        <v>50</v>
      </c>
      <c r="S547" t="s">
        <v>50</v>
      </c>
      <c r="T547" s="1">
        <v>40.122733940000003</v>
      </c>
      <c r="U547" s="1">
        <v>22.37626448</v>
      </c>
      <c r="V547" s="1">
        <v>7.4756499999999999</v>
      </c>
      <c r="W547" s="1">
        <v>2.3343318000000002</v>
      </c>
      <c r="X547" s="1">
        <v>0.33</v>
      </c>
      <c r="Y547" s="1">
        <v>0.13500000000000001</v>
      </c>
      <c r="Z547" s="1">
        <v>1.1537999999999999</v>
      </c>
      <c r="AA547" s="1">
        <v>3.6080999999999999</v>
      </c>
      <c r="AB547" t="s">
        <v>50</v>
      </c>
      <c r="AC547" s="1">
        <v>0.4612</v>
      </c>
      <c r="AD547" t="s">
        <v>50</v>
      </c>
      <c r="AE547" t="s">
        <v>50</v>
      </c>
      <c r="AF547" s="1">
        <v>0.20452500000000001</v>
      </c>
      <c r="AG547" t="s">
        <v>50</v>
      </c>
      <c r="AH547" t="s">
        <v>50</v>
      </c>
      <c r="AI547" t="s">
        <v>50</v>
      </c>
      <c r="AJ547" t="s">
        <v>50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t="s">
        <v>1583</v>
      </c>
      <c r="AQ547" s="1">
        <v>3062</v>
      </c>
      <c r="AR547" t="s">
        <v>51</v>
      </c>
    </row>
    <row r="548" spans="1:44">
      <c r="A548" s="1">
        <v>115069</v>
      </c>
      <c r="B548" s="1">
        <v>42200</v>
      </c>
      <c r="C548" s="1">
        <v>37333</v>
      </c>
      <c r="D548" t="s">
        <v>1585</v>
      </c>
      <c r="E548" t="s">
        <v>1586</v>
      </c>
      <c r="F548" t="str">
        <f>VLOOKUP(E548,Tabela2[#All],2,FALSE)</f>
        <v>Válvula Nível 6</v>
      </c>
      <c r="G548" t="s">
        <v>1587</v>
      </c>
      <c r="H548" s="1">
        <v>0.26</v>
      </c>
      <c r="I548" s="1">
        <v>0.28999999999999998</v>
      </c>
      <c r="J548" t="s">
        <v>65</v>
      </c>
      <c r="K548" s="1">
        <v>66.529411999999994</v>
      </c>
      <c r="L548" s="1">
        <v>19.5</v>
      </c>
      <c r="M548" s="1">
        <v>8.5</v>
      </c>
      <c r="N548" s="1">
        <v>36450</v>
      </c>
      <c r="O548" t="s">
        <v>1023</v>
      </c>
      <c r="P548" t="s">
        <v>1588</v>
      </c>
      <c r="Q548" t="s">
        <v>1025</v>
      </c>
      <c r="R548" t="s">
        <v>50</v>
      </c>
      <c r="S548" t="s">
        <v>50</v>
      </c>
      <c r="T548" s="1">
        <v>4.16195571</v>
      </c>
      <c r="U548" s="1">
        <v>2.18927534</v>
      </c>
      <c r="V548" s="1">
        <v>0</v>
      </c>
      <c r="W548" s="1">
        <v>0.30808439999999998</v>
      </c>
      <c r="X548" t="s">
        <v>50</v>
      </c>
      <c r="Y548" s="1">
        <v>4.48E-2</v>
      </c>
      <c r="Z548" s="1">
        <v>0.16120000000000001</v>
      </c>
      <c r="AA548" t="s">
        <v>50</v>
      </c>
      <c r="AB548" t="s">
        <v>50</v>
      </c>
      <c r="AC548" s="1">
        <v>0.19520000000000001</v>
      </c>
      <c r="AD548" t="s">
        <v>50</v>
      </c>
      <c r="AE548" t="s">
        <v>50</v>
      </c>
      <c r="AF548" t="s">
        <v>50</v>
      </c>
      <c r="AG548" s="1">
        <v>2.2700000000000001E-2</v>
      </c>
      <c r="AH548" t="s">
        <v>50</v>
      </c>
      <c r="AI548" t="s">
        <v>50</v>
      </c>
      <c r="AJ548" t="s">
        <v>50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t="s">
        <v>1589</v>
      </c>
      <c r="AQ548" s="1">
        <v>2255</v>
      </c>
      <c r="AR548" t="s">
        <v>70</v>
      </c>
    </row>
    <row r="549" spans="1:44">
      <c r="A549" s="1">
        <v>44610</v>
      </c>
      <c r="B549" s="1">
        <v>44611</v>
      </c>
      <c r="C549" s="1">
        <v>39668</v>
      </c>
      <c r="D549" t="s">
        <v>1590</v>
      </c>
      <c r="E549" t="s">
        <v>1591</v>
      </c>
      <c r="F549" t="str">
        <f>VLOOKUP(E549,Tabela2[#All],2,FALSE)</f>
        <v>Válvula Nível 4</v>
      </c>
      <c r="G549" t="s">
        <v>1592</v>
      </c>
      <c r="H549" s="1">
        <v>2.94</v>
      </c>
      <c r="I549" s="1">
        <v>2.94</v>
      </c>
      <c r="J549" t="s">
        <v>65</v>
      </c>
      <c r="K549" s="1">
        <v>78.961305999999993</v>
      </c>
      <c r="L549" s="1">
        <v>3.3333330000000001</v>
      </c>
      <c r="M549" s="1">
        <v>12.58</v>
      </c>
      <c r="N549" s="1">
        <v>89565</v>
      </c>
      <c r="O549" t="s">
        <v>195</v>
      </c>
      <c r="P549" t="s">
        <v>113</v>
      </c>
      <c r="Q549" t="s">
        <v>68</v>
      </c>
      <c r="R549" t="s">
        <v>50</v>
      </c>
      <c r="S549" s="1">
        <v>0.30199999999999999</v>
      </c>
      <c r="T549" s="1">
        <v>33.028117389999998</v>
      </c>
      <c r="U549" s="1">
        <v>32.92212593</v>
      </c>
      <c r="V549" s="1">
        <v>0</v>
      </c>
      <c r="W549" s="1">
        <v>0</v>
      </c>
      <c r="X549" t="s">
        <v>50</v>
      </c>
      <c r="Y549" t="s">
        <v>50</v>
      </c>
      <c r="Z549" t="s">
        <v>50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s="1">
        <v>0.25</v>
      </c>
      <c r="AH549" s="1">
        <v>0.84199999999999997</v>
      </c>
      <c r="AI549" t="s">
        <v>50</v>
      </c>
      <c r="AJ549" t="s">
        <v>50</v>
      </c>
      <c r="AK549" t="s">
        <v>50</v>
      </c>
      <c r="AL549" t="s">
        <v>50</v>
      </c>
      <c r="AM549" t="s">
        <v>50</v>
      </c>
      <c r="AN549" s="1">
        <v>3.27</v>
      </c>
      <c r="AO549" t="s">
        <v>50</v>
      </c>
      <c r="AP549" t="s">
        <v>1593</v>
      </c>
      <c r="AQ549" s="1">
        <v>2520</v>
      </c>
      <c r="AR549" t="s">
        <v>70</v>
      </c>
    </row>
    <row r="550" spans="1:44">
      <c r="A550" s="1">
        <v>116848</v>
      </c>
      <c r="B550" s="1">
        <v>116847</v>
      </c>
      <c r="C550" s="1">
        <v>99250</v>
      </c>
      <c r="D550" t="s">
        <v>1594</v>
      </c>
      <c r="E550" t="s">
        <v>1595</v>
      </c>
      <c r="F550" t="str">
        <f>VLOOKUP(E550,Tabela2[#All],2,FALSE)</f>
        <v>Válvula Nível 3</v>
      </c>
      <c r="G550" t="s">
        <v>1596</v>
      </c>
      <c r="H550" s="1">
        <v>8.5</v>
      </c>
      <c r="I550" s="1">
        <v>8.5</v>
      </c>
      <c r="J550" t="s">
        <v>65</v>
      </c>
      <c r="K550" s="1">
        <v>68.674699000000004</v>
      </c>
      <c r="L550" s="1">
        <v>1.5</v>
      </c>
      <c r="M550" s="1">
        <v>18.675000000000001</v>
      </c>
      <c r="N550" s="1">
        <v>36446</v>
      </c>
      <c r="O550" t="s">
        <v>119</v>
      </c>
      <c r="P550" t="s">
        <v>1508</v>
      </c>
      <c r="Q550" t="s">
        <v>68</v>
      </c>
      <c r="R550" s="1">
        <v>1.3</v>
      </c>
      <c r="S550" t="s">
        <v>50</v>
      </c>
      <c r="T550" s="1">
        <v>138.80619010000001</v>
      </c>
      <c r="U550" s="1">
        <v>137.88581087</v>
      </c>
      <c r="V550" s="1">
        <v>0</v>
      </c>
      <c r="W550" s="1">
        <v>0</v>
      </c>
      <c r="X550" t="s">
        <v>50</v>
      </c>
      <c r="Y550" t="s">
        <v>50</v>
      </c>
      <c r="Z550" t="s">
        <v>50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50</v>
      </c>
      <c r="AG550" s="1">
        <v>0.66700000000000004</v>
      </c>
      <c r="AH550" s="1">
        <v>1.3</v>
      </c>
      <c r="AI550" s="1">
        <v>0.34699999999999998</v>
      </c>
      <c r="AJ550" t="s">
        <v>50</v>
      </c>
      <c r="AK550" t="s">
        <v>50</v>
      </c>
      <c r="AL550" t="s">
        <v>50</v>
      </c>
      <c r="AM550" t="s">
        <v>50</v>
      </c>
      <c r="AN550" s="1">
        <v>18</v>
      </c>
      <c r="AO550" t="s">
        <v>50</v>
      </c>
      <c r="AP550" t="s">
        <v>1597</v>
      </c>
      <c r="AQ550" s="1">
        <v>13167</v>
      </c>
      <c r="AR550" t="s">
        <v>70</v>
      </c>
    </row>
    <row r="551" spans="1:44">
      <c r="A551" s="1">
        <v>107652</v>
      </c>
      <c r="B551" s="1">
        <v>107654</v>
      </c>
      <c r="C551" s="1">
        <v>90350</v>
      </c>
      <c r="D551" t="s">
        <v>1598</v>
      </c>
      <c r="E551" t="s">
        <v>1599</v>
      </c>
      <c r="F551" t="str">
        <f>VLOOKUP(E551,Tabela2[#All],2,FALSE)</f>
        <v>PORCA</v>
      </c>
      <c r="G551" t="s">
        <v>1600</v>
      </c>
      <c r="H551" s="1">
        <v>0.53100000000000003</v>
      </c>
      <c r="I551" s="1">
        <v>0.53100000000000003</v>
      </c>
      <c r="J551" t="s">
        <v>46</v>
      </c>
      <c r="K551" s="1">
        <v>43.4238</v>
      </c>
      <c r="L551" s="1">
        <v>8</v>
      </c>
      <c r="M551" s="1">
        <v>9.58</v>
      </c>
      <c r="N551" s="1">
        <v>32901</v>
      </c>
      <c r="O551" t="s">
        <v>534</v>
      </c>
      <c r="P551" t="s">
        <v>1262</v>
      </c>
      <c r="Q551" t="s">
        <v>350</v>
      </c>
      <c r="R551" t="s">
        <v>50</v>
      </c>
      <c r="S551" t="s">
        <v>50</v>
      </c>
      <c r="T551" s="1">
        <v>4.9586042800000003</v>
      </c>
      <c r="U551" s="1">
        <v>4.59155069</v>
      </c>
      <c r="V551" s="1">
        <v>1.5664</v>
      </c>
      <c r="W551" s="1">
        <v>0</v>
      </c>
      <c r="X551" t="s">
        <v>50</v>
      </c>
      <c r="Y551" s="1">
        <v>0.02</v>
      </c>
      <c r="Z551" t="s">
        <v>50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s="1">
        <v>9.3899999999999997E-2</v>
      </c>
      <c r="AG551" t="s">
        <v>50</v>
      </c>
      <c r="AH551" t="s">
        <v>50</v>
      </c>
      <c r="AI551" t="s">
        <v>50</v>
      </c>
      <c r="AJ551" t="s">
        <v>50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t="s">
        <v>1601</v>
      </c>
      <c r="AQ551" s="1">
        <v>10807</v>
      </c>
      <c r="AR551" t="s">
        <v>51</v>
      </c>
    </row>
    <row r="552" spans="1:44">
      <c r="A552" s="1">
        <v>37033</v>
      </c>
      <c r="B552" s="1">
        <v>37779</v>
      </c>
      <c r="C552" s="1">
        <v>34828</v>
      </c>
      <c r="D552" t="s">
        <v>1602</v>
      </c>
      <c r="E552" t="s">
        <v>1603</v>
      </c>
      <c r="F552" t="str">
        <f>VLOOKUP(E552,Tabela2[#All],2,FALSE)</f>
        <v>SEM FAMÍLIA</v>
      </c>
      <c r="G552" t="s">
        <v>1604</v>
      </c>
      <c r="H552" s="1">
        <v>0.34</v>
      </c>
      <c r="I552" s="1">
        <v>0.34</v>
      </c>
      <c r="J552" t="s">
        <v>46</v>
      </c>
      <c r="K552" s="1">
        <v>46.189376000000003</v>
      </c>
      <c r="L552" s="1">
        <v>8</v>
      </c>
      <c r="M552" s="1">
        <v>8.66</v>
      </c>
      <c r="N552" s="1">
        <v>32901</v>
      </c>
      <c r="O552" t="s">
        <v>534</v>
      </c>
      <c r="P552" t="s">
        <v>615</v>
      </c>
      <c r="Q552" t="s">
        <v>49</v>
      </c>
      <c r="R552" t="s">
        <v>50</v>
      </c>
      <c r="S552" t="s">
        <v>50</v>
      </c>
      <c r="T552" s="1">
        <v>12.436186230000001</v>
      </c>
      <c r="U552" s="1">
        <v>4.94662866</v>
      </c>
      <c r="V552" s="1">
        <v>0</v>
      </c>
      <c r="W552" s="1">
        <v>0.4028796</v>
      </c>
      <c r="X552" t="s">
        <v>50</v>
      </c>
      <c r="Y552" s="1">
        <v>6.1400000000000003E-2</v>
      </c>
      <c r="Z552" s="1">
        <v>0.28570000000000001</v>
      </c>
      <c r="AA552" s="1">
        <v>1.0900000000000001</v>
      </c>
      <c r="AB552" t="s">
        <v>50</v>
      </c>
      <c r="AC552" s="1">
        <v>0.27239999999999998</v>
      </c>
      <c r="AD552" t="s">
        <v>50</v>
      </c>
      <c r="AE552" s="1">
        <v>0.35</v>
      </c>
      <c r="AF552" s="1">
        <v>8.6099999999999996E-2</v>
      </c>
      <c r="AG552" t="s">
        <v>50</v>
      </c>
      <c r="AH552" t="s">
        <v>50</v>
      </c>
      <c r="AI552" t="s">
        <v>50</v>
      </c>
      <c r="AJ552" t="s">
        <v>50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t="s">
        <v>1603</v>
      </c>
      <c r="AQ552" s="1">
        <v>1410</v>
      </c>
      <c r="AR552" t="s">
        <v>51</v>
      </c>
    </row>
    <row r="553" spans="1:44">
      <c r="A553" s="1">
        <v>37033</v>
      </c>
      <c r="B553" s="1">
        <v>37779</v>
      </c>
      <c r="C553" s="1">
        <v>34828</v>
      </c>
      <c r="D553" t="s">
        <v>1602</v>
      </c>
      <c r="E553" t="s">
        <v>1603</v>
      </c>
      <c r="F553" t="str">
        <f>VLOOKUP(E553,Tabela2[#All],2,FALSE)</f>
        <v>SEM FAMÍLIA</v>
      </c>
      <c r="G553" t="s">
        <v>1604</v>
      </c>
      <c r="H553" s="1">
        <v>0.34</v>
      </c>
      <c r="I553" s="1">
        <v>0.34</v>
      </c>
      <c r="J553" t="s">
        <v>46</v>
      </c>
      <c r="K553" s="1">
        <v>46.189376000000003</v>
      </c>
      <c r="L553" s="1">
        <v>8</v>
      </c>
      <c r="M553" s="1">
        <v>8.66</v>
      </c>
      <c r="N553" s="1">
        <v>32901</v>
      </c>
      <c r="O553" t="s">
        <v>534</v>
      </c>
      <c r="P553" t="s">
        <v>611</v>
      </c>
      <c r="Q553" t="s">
        <v>49</v>
      </c>
      <c r="R553" t="s">
        <v>50</v>
      </c>
      <c r="S553" t="s">
        <v>50</v>
      </c>
      <c r="T553" s="1">
        <v>12.436186230000001</v>
      </c>
      <c r="U553" s="1">
        <v>4.94662866</v>
      </c>
      <c r="V553" s="1">
        <v>0</v>
      </c>
      <c r="W553" s="1">
        <v>0.4028796</v>
      </c>
      <c r="X553" t="s">
        <v>50</v>
      </c>
      <c r="Y553" s="1">
        <v>6.1400000000000003E-2</v>
      </c>
      <c r="Z553" s="1">
        <v>0.28570000000000001</v>
      </c>
      <c r="AA553" s="1">
        <v>1.0900000000000001</v>
      </c>
      <c r="AB553" t="s">
        <v>50</v>
      </c>
      <c r="AC553" s="1">
        <v>0.27239999999999998</v>
      </c>
      <c r="AD553" t="s">
        <v>50</v>
      </c>
      <c r="AE553" s="1">
        <v>0.35</v>
      </c>
      <c r="AF553" s="1">
        <v>8.6099999999999996E-2</v>
      </c>
      <c r="AG553" t="s">
        <v>50</v>
      </c>
      <c r="AH553" t="s">
        <v>50</v>
      </c>
      <c r="AI553" t="s">
        <v>50</v>
      </c>
      <c r="AJ553" t="s">
        <v>50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t="s">
        <v>1603</v>
      </c>
      <c r="AQ553" s="1">
        <v>1410</v>
      </c>
      <c r="AR553" t="s">
        <v>51</v>
      </c>
    </row>
    <row r="554" spans="1:44">
      <c r="A554" s="1">
        <v>31921</v>
      </c>
      <c r="B554" s="1">
        <v>35686</v>
      </c>
      <c r="C554" s="1">
        <v>31247</v>
      </c>
      <c r="D554" t="s">
        <v>1605</v>
      </c>
      <c r="E554" t="s">
        <v>1606</v>
      </c>
      <c r="F554" t="str">
        <f>VLOOKUP(E554,Tabela2[#All],2,FALSE)</f>
        <v>GANSO</v>
      </c>
      <c r="G554" t="s">
        <v>1607</v>
      </c>
      <c r="H554" s="1">
        <v>2.08</v>
      </c>
      <c r="I554" s="1">
        <v>2.08</v>
      </c>
      <c r="J554" t="s">
        <v>46</v>
      </c>
      <c r="K554" s="1">
        <v>56.454121000000001</v>
      </c>
      <c r="L554" s="1">
        <v>3</v>
      </c>
      <c r="M554" s="1">
        <v>12.86</v>
      </c>
      <c r="N554" s="1">
        <v>32901</v>
      </c>
      <c r="O554" t="s">
        <v>534</v>
      </c>
      <c r="P554" t="s">
        <v>611</v>
      </c>
      <c r="Q554" t="s">
        <v>49</v>
      </c>
      <c r="R554" t="s">
        <v>50</v>
      </c>
      <c r="S554" t="s">
        <v>50</v>
      </c>
      <c r="T554" s="1">
        <v>36.973753940000002</v>
      </c>
      <c r="U554" s="1">
        <v>23.619788209999999</v>
      </c>
      <c r="V554" s="1">
        <v>0</v>
      </c>
      <c r="W554" s="1">
        <v>2.4646751999999998</v>
      </c>
      <c r="X554" t="s">
        <v>50</v>
      </c>
      <c r="Y554" s="1">
        <v>8.1799999999999998E-2</v>
      </c>
      <c r="Z554" s="1">
        <v>1.7538</v>
      </c>
      <c r="AA554" s="1">
        <v>0.88229999999999997</v>
      </c>
      <c r="AB554" t="s">
        <v>50</v>
      </c>
      <c r="AC554" s="1">
        <v>0.72719999999999996</v>
      </c>
      <c r="AD554" t="s">
        <v>50</v>
      </c>
      <c r="AE554" t="s">
        <v>50</v>
      </c>
      <c r="AF554" s="1">
        <v>0.33329999999999999</v>
      </c>
      <c r="AG554" t="s">
        <v>50</v>
      </c>
      <c r="AH554" t="s">
        <v>50</v>
      </c>
      <c r="AI554" t="s">
        <v>50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t="s">
        <v>1606</v>
      </c>
      <c r="AQ554" s="1">
        <v>1411</v>
      </c>
      <c r="AR554" t="s">
        <v>51</v>
      </c>
    </row>
    <row r="555" spans="1:44">
      <c r="A555" s="1">
        <v>31797</v>
      </c>
      <c r="B555" s="1">
        <v>34637</v>
      </c>
      <c r="C555" s="1">
        <v>31137</v>
      </c>
      <c r="D555" t="s">
        <v>1608</v>
      </c>
      <c r="E555" t="s">
        <v>1609</v>
      </c>
      <c r="F555" t="str">
        <f>VLOOKUP(E555,Tabela2[#All],2,FALSE)</f>
        <v>REVOLVER</v>
      </c>
      <c r="G555" t="s">
        <v>1610</v>
      </c>
      <c r="H555" s="1">
        <v>2.17</v>
      </c>
      <c r="I555" s="1">
        <v>2.17</v>
      </c>
      <c r="J555" t="s">
        <v>46</v>
      </c>
      <c r="K555" s="1">
        <v>57.310344999999998</v>
      </c>
      <c r="L555" s="1">
        <v>3</v>
      </c>
      <c r="M555" s="1">
        <v>12.8</v>
      </c>
      <c r="N555" s="1">
        <v>32901</v>
      </c>
      <c r="O555" t="s">
        <v>534</v>
      </c>
      <c r="P555" t="s">
        <v>611</v>
      </c>
      <c r="Q555" t="s">
        <v>49</v>
      </c>
      <c r="R555" t="s">
        <v>50</v>
      </c>
      <c r="S555" t="s">
        <v>50</v>
      </c>
      <c r="T555" s="1">
        <v>31.87234733</v>
      </c>
      <c r="U555" s="1">
        <v>19.2184572</v>
      </c>
      <c r="V555" s="1">
        <v>0</v>
      </c>
      <c r="W555" s="1">
        <v>2.5713197999999999</v>
      </c>
      <c r="X555" t="s">
        <v>50</v>
      </c>
      <c r="Y555" s="1">
        <v>0.16800000000000001</v>
      </c>
      <c r="Z555" s="1">
        <v>1.4480999999999999</v>
      </c>
      <c r="AA555" s="1">
        <v>0.98360000000000003</v>
      </c>
      <c r="AB555" t="s">
        <v>50</v>
      </c>
      <c r="AC555" s="1">
        <v>0.48480000000000001</v>
      </c>
      <c r="AD555" t="s">
        <v>50</v>
      </c>
      <c r="AE555" t="s">
        <v>50</v>
      </c>
      <c r="AF555" s="1">
        <v>0.33329999999999999</v>
      </c>
      <c r="AG555" t="s">
        <v>50</v>
      </c>
      <c r="AH555" t="s">
        <v>50</v>
      </c>
      <c r="AI555" t="s">
        <v>50</v>
      </c>
      <c r="AJ555" t="s">
        <v>50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t="s">
        <v>1609</v>
      </c>
      <c r="AQ555" s="1">
        <v>305</v>
      </c>
      <c r="AR555" t="s">
        <v>51</v>
      </c>
    </row>
    <row r="556" spans="1:44">
      <c r="A556" s="1">
        <v>41418</v>
      </c>
      <c r="B556" s="1">
        <v>38656</v>
      </c>
      <c r="C556" s="1">
        <v>32293</v>
      </c>
      <c r="D556" t="s">
        <v>1611</v>
      </c>
      <c r="E556" t="s">
        <v>1612</v>
      </c>
      <c r="F556" t="str">
        <f>VLOOKUP(E556,Tabela2[#All],2,FALSE)</f>
        <v>REVOLVER</v>
      </c>
      <c r="G556" t="s">
        <v>1613</v>
      </c>
      <c r="H556" s="1">
        <v>2.23</v>
      </c>
      <c r="I556" s="1">
        <v>2.23</v>
      </c>
      <c r="J556" t="s">
        <v>46</v>
      </c>
      <c r="K556" s="1">
        <v>51.434570000000001</v>
      </c>
      <c r="L556" s="1">
        <v>3</v>
      </c>
      <c r="M556" s="1">
        <v>14.29</v>
      </c>
      <c r="N556" s="1">
        <v>32901</v>
      </c>
      <c r="O556" t="s">
        <v>534</v>
      </c>
      <c r="P556" t="s">
        <v>611</v>
      </c>
      <c r="Q556" t="s">
        <v>49</v>
      </c>
      <c r="R556" t="s">
        <v>50</v>
      </c>
      <c r="S556" t="s">
        <v>50</v>
      </c>
      <c r="T556" s="1">
        <v>31.875452559999999</v>
      </c>
      <c r="U556" s="1">
        <v>21.0476809</v>
      </c>
      <c r="V556" s="1">
        <v>0</v>
      </c>
      <c r="W556" s="1">
        <v>2.6424162</v>
      </c>
      <c r="X556" t="s">
        <v>50</v>
      </c>
      <c r="Y556" s="1">
        <v>0.14990000000000001</v>
      </c>
      <c r="Z556" t="s">
        <v>50</v>
      </c>
      <c r="AA556" s="1">
        <v>1.302</v>
      </c>
      <c r="AB556" t="s">
        <v>50</v>
      </c>
      <c r="AC556" s="1">
        <v>0.35680000000000001</v>
      </c>
      <c r="AD556" t="s">
        <v>50</v>
      </c>
      <c r="AE556" t="s">
        <v>50</v>
      </c>
      <c r="AF556" s="1">
        <v>0.33329999999999999</v>
      </c>
      <c r="AG556" t="s">
        <v>50</v>
      </c>
      <c r="AH556" t="s">
        <v>50</v>
      </c>
      <c r="AI556" t="s">
        <v>50</v>
      </c>
      <c r="AJ556" t="s">
        <v>50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t="s">
        <v>1612</v>
      </c>
      <c r="AQ556" s="1">
        <v>1415</v>
      </c>
      <c r="AR556" t="s">
        <v>51</v>
      </c>
    </row>
    <row r="557" spans="1:44">
      <c r="A557" s="1">
        <v>41418</v>
      </c>
      <c r="B557" s="1">
        <v>38656</v>
      </c>
      <c r="C557" s="1">
        <v>32293</v>
      </c>
      <c r="D557" t="s">
        <v>1611</v>
      </c>
      <c r="E557" t="s">
        <v>1612</v>
      </c>
      <c r="F557" t="str">
        <f>VLOOKUP(E557,Tabela2[#All],2,FALSE)</f>
        <v>REVOLVER</v>
      </c>
      <c r="G557" t="s">
        <v>1613</v>
      </c>
      <c r="H557" s="1">
        <v>2.23</v>
      </c>
      <c r="I557" s="1">
        <v>2.23</v>
      </c>
      <c r="J557" t="s">
        <v>46</v>
      </c>
      <c r="K557" s="1">
        <v>51.434570000000001</v>
      </c>
      <c r="L557" s="1">
        <v>3</v>
      </c>
      <c r="M557" s="1">
        <v>14.29</v>
      </c>
      <c r="N557" s="1">
        <v>32901</v>
      </c>
      <c r="O557" t="s">
        <v>534</v>
      </c>
      <c r="P557" t="s">
        <v>615</v>
      </c>
      <c r="Q557" t="s">
        <v>49</v>
      </c>
      <c r="R557" t="s">
        <v>50</v>
      </c>
      <c r="S557" t="s">
        <v>50</v>
      </c>
      <c r="T557" s="1">
        <v>31.875452559999999</v>
      </c>
      <c r="U557" s="1">
        <v>21.0476809</v>
      </c>
      <c r="V557" s="1">
        <v>0</v>
      </c>
      <c r="W557" s="1">
        <v>2.6424162</v>
      </c>
      <c r="X557" t="s">
        <v>50</v>
      </c>
      <c r="Y557" s="1">
        <v>0.14990000000000001</v>
      </c>
      <c r="Z557" t="s">
        <v>50</v>
      </c>
      <c r="AA557" s="1">
        <v>1.302</v>
      </c>
      <c r="AB557" t="s">
        <v>50</v>
      </c>
      <c r="AC557" s="1">
        <v>0.35680000000000001</v>
      </c>
      <c r="AD557" t="s">
        <v>50</v>
      </c>
      <c r="AE557" t="s">
        <v>50</v>
      </c>
      <c r="AF557" s="1">
        <v>0.33329999999999999</v>
      </c>
      <c r="AG557" t="s">
        <v>50</v>
      </c>
      <c r="AH557" t="s">
        <v>50</v>
      </c>
      <c r="AI557" t="s">
        <v>50</v>
      </c>
      <c r="AJ557" t="s">
        <v>50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t="s">
        <v>1612</v>
      </c>
      <c r="AQ557" s="1">
        <v>1415</v>
      </c>
      <c r="AR557" t="s">
        <v>51</v>
      </c>
    </row>
    <row r="558" spans="1:44">
      <c r="A558" s="1">
        <v>53175</v>
      </c>
      <c r="B558" s="1">
        <v>53177</v>
      </c>
      <c r="C558" s="1">
        <v>47574</v>
      </c>
      <c r="D558" t="s">
        <v>1614</v>
      </c>
      <c r="E558" t="s">
        <v>1615</v>
      </c>
      <c r="F558" t="str">
        <f>VLOOKUP(E558,Tabela2[#All],2,FALSE)</f>
        <v>REVOLVER</v>
      </c>
      <c r="G558" t="s">
        <v>1616</v>
      </c>
      <c r="H558" s="1">
        <v>2.9</v>
      </c>
      <c r="I558" s="1">
        <v>2.9</v>
      </c>
      <c r="J558" t="s">
        <v>46</v>
      </c>
      <c r="K558" s="1">
        <v>54.652071999999997</v>
      </c>
      <c r="L558" s="1">
        <v>2</v>
      </c>
      <c r="M558" s="1">
        <v>12.79</v>
      </c>
      <c r="N558" s="1">
        <v>32901</v>
      </c>
      <c r="O558" t="s">
        <v>534</v>
      </c>
      <c r="P558" t="s">
        <v>611</v>
      </c>
      <c r="Q558" t="s">
        <v>49</v>
      </c>
      <c r="R558" t="s">
        <v>50</v>
      </c>
      <c r="S558" s="1">
        <v>0.66</v>
      </c>
      <c r="T558" s="1">
        <v>43.087686499999997</v>
      </c>
      <c r="U558" s="1">
        <v>26.377150260000001</v>
      </c>
      <c r="V558" s="1">
        <v>0</v>
      </c>
      <c r="W558" s="1">
        <v>3.4363260000000002</v>
      </c>
      <c r="X558" t="s">
        <v>50</v>
      </c>
      <c r="Y558" s="1">
        <v>0.1908</v>
      </c>
      <c r="Z558" s="1">
        <v>0.57140000000000002</v>
      </c>
      <c r="AA558" s="1">
        <v>1.9863999999999999</v>
      </c>
      <c r="AB558" t="s">
        <v>50</v>
      </c>
      <c r="AC558" s="1">
        <v>0.64480000000000004</v>
      </c>
      <c r="AD558" t="s">
        <v>50</v>
      </c>
      <c r="AE558" t="s">
        <v>50</v>
      </c>
      <c r="AF558" s="1">
        <v>0.499998</v>
      </c>
      <c r="AG558" t="s">
        <v>50</v>
      </c>
      <c r="AH558" t="s">
        <v>50</v>
      </c>
      <c r="AI558" t="s">
        <v>50</v>
      </c>
      <c r="AJ558" t="s">
        <v>50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t="s">
        <v>1617</v>
      </c>
      <c r="AQ558" s="1">
        <v>12307</v>
      </c>
      <c r="AR558" t="s">
        <v>51</v>
      </c>
    </row>
    <row r="559" spans="1:44">
      <c r="A559" s="1">
        <v>52343</v>
      </c>
      <c r="B559" s="1">
        <v>34676</v>
      </c>
      <c r="C559" s="1">
        <v>31336</v>
      </c>
      <c r="D559" t="s">
        <v>1618</v>
      </c>
      <c r="E559" t="s">
        <v>1619</v>
      </c>
      <c r="F559" t="str">
        <f>VLOOKUP(E559,Tabela2[#All],2,FALSE)</f>
        <v>PINO CONCHA</v>
      </c>
      <c r="G559" t="s">
        <v>1620</v>
      </c>
      <c r="H559" s="1">
        <v>0.59</v>
      </c>
      <c r="I559" s="1">
        <v>0.59</v>
      </c>
      <c r="J559" t="s">
        <v>46</v>
      </c>
      <c r="K559" s="1">
        <v>42.176870999999998</v>
      </c>
      <c r="L559" s="1">
        <v>7</v>
      </c>
      <c r="M559" s="1">
        <v>10.29</v>
      </c>
      <c r="N559" s="1">
        <v>32901</v>
      </c>
      <c r="O559" t="s">
        <v>534</v>
      </c>
      <c r="P559" t="s">
        <v>611</v>
      </c>
      <c r="Q559" t="s">
        <v>49</v>
      </c>
      <c r="R559" s="1">
        <v>0.13500000000000001</v>
      </c>
      <c r="S559" t="s">
        <v>50</v>
      </c>
      <c r="T559" s="1">
        <v>16.01691774</v>
      </c>
      <c r="U559" s="1">
        <v>9.5742268300000006</v>
      </c>
      <c r="V559" s="1">
        <v>1.8436285714285714</v>
      </c>
      <c r="W559" s="1">
        <v>0.69911460000000003</v>
      </c>
      <c r="X559" s="1">
        <v>0.2</v>
      </c>
      <c r="Y559" s="1">
        <v>0.13730000000000001</v>
      </c>
      <c r="Z559" s="1">
        <v>0.4</v>
      </c>
      <c r="AA559" s="1">
        <v>1.4024000000000001</v>
      </c>
      <c r="AB559" t="s">
        <v>50</v>
      </c>
      <c r="AC559" s="1">
        <v>0.31159999999999999</v>
      </c>
      <c r="AD559" t="s">
        <v>50</v>
      </c>
      <c r="AE559" t="s">
        <v>50</v>
      </c>
      <c r="AF559" s="1">
        <v>0.14280000000000001</v>
      </c>
      <c r="AG559" t="s">
        <v>50</v>
      </c>
      <c r="AH559" t="s">
        <v>50</v>
      </c>
      <c r="AI559" t="s">
        <v>50</v>
      </c>
      <c r="AJ559" t="s">
        <v>50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t="s">
        <v>1619</v>
      </c>
      <c r="AQ559" s="1">
        <v>2845</v>
      </c>
      <c r="AR559" t="s">
        <v>51</v>
      </c>
    </row>
    <row r="560" spans="1:44">
      <c r="A560" s="1">
        <v>42033</v>
      </c>
      <c r="B560" s="1">
        <v>42035</v>
      </c>
      <c r="C560" s="1">
        <v>37214</v>
      </c>
      <c r="D560" t="s">
        <v>1621</v>
      </c>
      <c r="E560" t="s">
        <v>1622</v>
      </c>
      <c r="F560" t="str">
        <f>VLOOKUP(E560,Tabela2[#All],2,FALSE)</f>
        <v>COELHO</v>
      </c>
      <c r="G560" t="s">
        <v>1623</v>
      </c>
      <c r="H560" s="1">
        <v>1.54</v>
      </c>
      <c r="I560" s="1">
        <v>1.54</v>
      </c>
      <c r="J560" t="s">
        <v>46</v>
      </c>
      <c r="K560" s="1">
        <v>47.841844999999999</v>
      </c>
      <c r="L560" s="1">
        <v>4</v>
      </c>
      <c r="M560" s="1">
        <v>15.175000000000001</v>
      </c>
      <c r="N560" s="1">
        <v>32901</v>
      </c>
      <c r="O560" t="s">
        <v>534</v>
      </c>
      <c r="P560" t="s">
        <v>615</v>
      </c>
      <c r="Q560" t="s">
        <v>49</v>
      </c>
      <c r="R560" t="s">
        <v>50</v>
      </c>
      <c r="S560" s="1">
        <v>0.28999999999999998</v>
      </c>
      <c r="T560" s="1">
        <v>24.597414260000001</v>
      </c>
      <c r="U560" s="1">
        <v>14.706215070000001</v>
      </c>
      <c r="V560" s="1">
        <v>0</v>
      </c>
      <c r="W560" s="1">
        <v>1.8248076</v>
      </c>
      <c r="X560" t="s">
        <v>50</v>
      </c>
      <c r="Y560" s="1">
        <v>0.105</v>
      </c>
      <c r="Z560" s="1">
        <v>0.55900000000000005</v>
      </c>
      <c r="AA560" s="1">
        <v>1.2155</v>
      </c>
      <c r="AB560" t="s">
        <v>50</v>
      </c>
      <c r="AC560" s="1">
        <v>0.78439999999999999</v>
      </c>
      <c r="AD560" t="s">
        <v>50</v>
      </c>
      <c r="AE560" t="s">
        <v>50</v>
      </c>
      <c r="AF560" s="1">
        <v>0.24990000000000001</v>
      </c>
      <c r="AG560" t="s">
        <v>50</v>
      </c>
      <c r="AH560" t="s">
        <v>50</v>
      </c>
      <c r="AI560" t="s">
        <v>50</v>
      </c>
      <c r="AJ560" t="s">
        <v>50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t="s">
        <v>1622</v>
      </c>
      <c r="AQ560" s="1">
        <v>2107</v>
      </c>
      <c r="AR560" t="s">
        <v>51</v>
      </c>
    </row>
    <row r="561" spans="1:44">
      <c r="A561" s="1">
        <v>42033</v>
      </c>
      <c r="B561" s="1">
        <v>42035</v>
      </c>
      <c r="C561" s="1">
        <v>37214</v>
      </c>
      <c r="D561" t="s">
        <v>1621</v>
      </c>
      <c r="E561" t="s">
        <v>1622</v>
      </c>
      <c r="F561" t="str">
        <f>VLOOKUP(E561,Tabela2[#All],2,FALSE)</f>
        <v>COELHO</v>
      </c>
      <c r="G561" t="s">
        <v>1623</v>
      </c>
      <c r="H561" s="1">
        <v>1.54</v>
      </c>
      <c r="I561" s="1">
        <v>1.54</v>
      </c>
      <c r="J561" t="s">
        <v>46</v>
      </c>
      <c r="K561" s="1">
        <v>47.841844999999999</v>
      </c>
      <c r="L561" s="1">
        <v>4</v>
      </c>
      <c r="M561" s="1">
        <v>15.175000000000001</v>
      </c>
      <c r="N561" s="1">
        <v>32901</v>
      </c>
      <c r="O561" t="s">
        <v>534</v>
      </c>
      <c r="P561" t="s">
        <v>611</v>
      </c>
      <c r="Q561" t="s">
        <v>49</v>
      </c>
      <c r="R561" t="s">
        <v>50</v>
      </c>
      <c r="S561" s="1">
        <v>0.28999999999999998</v>
      </c>
      <c r="T561" s="1">
        <v>24.597414260000001</v>
      </c>
      <c r="U561" s="1">
        <v>14.706215070000001</v>
      </c>
      <c r="V561" s="1">
        <v>0</v>
      </c>
      <c r="W561" s="1">
        <v>1.8248076</v>
      </c>
      <c r="X561" t="s">
        <v>50</v>
      </c>
      <c r="Y561" s="1">
        <v>0.105</v>
      </c>
      <c r="Z561" s="1">
        <v>0.55900000000000005</v>
      </c>
      <c r="AA561" s="1">
        <v>1.2155</v>
      </c>
      <c r="AB561" t="s">
        <v>50</v>
      </c>
      <c r="AC561" s="1">
        <v>0.78439999999999999</v>
      </c>
      <c r="AD561" t="s">
        <v>50</v>
      </c>
      <c r="AE561" t="s">
        <v>50</v>
      </c>
      <c r="AF561" s="1">
        <v>0.24990000000000001</v>
      </c>
      <c r="AG561" t="s">
        <v>50</v>
      </c>
      <c r="AH561" t="s">
        <v>50</v>
      </c>
      <c r="AI561" t="s">
        <v>50</v>
      </c>
      <c r="AJ561" t="s">
        <v>50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t="s">
        <v>1622</v>
      </c>
      <c r="AQ561" s="1">
        <v>2107</v>
      </c>
      <c r="AR561" t="s">
        <v>51</v>
      </c>
    </row>
    <row r="562" spans="1:44">
      <c r="A562" s="1">
        <v>32155</v>
      </c>
      <c r="B562" s="1">
        <v>35720</v>
      </c>
      <c r="C562" s="1">
        <v>31483</v>
      </c>
      <c r="D562" t="s">
        <v>1624</v>
      </c>
      <c r="E562" t="s">
        <v>1625</v>
      </c>
      <c r="F562" t="str">
        <f>VLOOKUP(E562,Tabela2[#All],2,FALSE)</f>
        <v>SAPATÃO</v>
      </c>
      <c r="G562" t="s">
        <v>1626</v>
      </c>
      <c r="H562" s="1">
        <v>2.13</v>
      </c>
      <c r="I562" s="1">
        <v>2.13</v>
      </c>
      <c r="J562" t="s">
        <v>46</v>
      </c>
      <c r="K562" s="1">
        <v>47.937131999999998</v>
      </c>
      <c r="L562" s="1">
        <v>2</v>
      </c>
      <c r="M562" s="1">
        <v>10.18</v>
      </c>
      <c r="N562" s="1">
        <v>32901</v>
      </c>
      <c r="O562" t="s">
        <v>534</v>
      </c>
      <c r="P562" t="s">
        <v>615</v>
      </c>
      <c r="Q562" t="s">
        <v>49</v>
      </c>
      <c r="R562" t="s">
        <v>50</v>
      </c>
      <c r="S562" t="s">
        <v>50</v>
      </c>
      <c r="T562" s="1">
        <v>35.96179455</v>
      </c>
      <c r="U562" s="1">
        <v>23.363612530000001</v>
      </c>
      <c r="V562" s="1">
        <v>0</v>
      </c>
      <c r="W562" s="1">
        <v>2.5239221999999999</v>
      </c>
      <c r="X562" t="s">
        <v>50</v>
      </c>
      <c r="Y562" s="1">
        <v>0.3291</v>
      </c>
      <c r="Z562" s="1">
        <v>0.49590000000000001</v>
      </c>
      <c r="AA562" s="1">
        <v>1.3409</v>
      </c>
      <c r="AB562" t="s">
        <v>50</v>
      </c>
      <c r="AC562" s="1">
        <v>0.88200000000000001</v>
      </c>
      <c r="AD562" t="s">
        <v>50</v>
      </c>
      <c r="AE562" t="s">
        <v>50</v>
      </c>
      <c r="AF562" s="1">
        <v>0.40500000000000003</v>
      </c>
      <c r="AG562" t="s">
        <v>50</v>
      </c>
      <c r="AH562" t="s">
        <v>50</v>
      </c>
      <c r="AI562" t="s">
        <v>50</v>
      </c>
      <c r="AJ562" t="s">
        <v>50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t="s">
        <v>1625</v>
      </c>
      <c r="AQ562" s="1">
        <v>1963</v>
      </c>
      <c r="AR562" t="s">
        <v>51</v>
      </c>
    </row>
    <row r="563" spans="1:44">
      <c r="A563" s="1">
        <v>87651</v>
      </c>
      <c r="B563" s="1">
        <v>87650</v>
      </c>
      <c r="C563" s="1">
        <v>79777</v>
      </c>
      <c r="D563" t="s">
        <v>1627</v>
      </c>
      <c r="E563" t="s">
        <v>1628</v>
      </c>
      <c r="F563" t="str">
        <f>VLOOKUP(E563,Tabela2[#All],2,FALSE)</f>
        <v>TERMINAL OLHAL</v>
      </c>
      <c r="G563" t="s">
        <v>1629</v>
      </c>
      <c r="H563" s="1">
        <v>0.3</v>
      </c>
      <c r="I563" s="1">
        <v>0.3</v>
      </c>
      <c r="J563" t="s">
        <v>46</v>
      </c>
      <c r="K563" s="1">
        <v>50</v>
      </c>
      <c r="L563" s="1">
        <v>11</v>
      </c>
      <c r="M563" s="1">
        <v>10.6</v>
      </c>
      <c r="N563" s="1">
        <v>32901</v>
      </c>
      <c r="O563" t="s">
        <v>534</v>
      </c>
      <c r="P563" t="s">
        <v>615</v>
      </c>
      <c r="Q563" t="s">
        <v>49</v>
      </c>
      <c r="R563" t="s">
        <v>50</v>
      </c>
      <c r="S563" t="s">
        <v>50</v>
      </c>
      <c r="T563" s="1">
        <v>8.02537652</v>
      </c>
      <c r="U563" s="1">
        <v>4.52036806</v>
      </c>
      <c r="V563" s="1">
        <v>0</v>
      </c>
      <c r="W563" s="1">
        <v>0.35548200000000002</v>
      </c>
      <c r="X563" t="s">
        <v>50</v>
      </c>
      <c r="Y563" s="1">
        <v>3.9100000000000003E-2</v>
      </c>
      <c r="Z563" s="1">
        <v>0.15</v>
      </c>
      <c r="AA563" s="1">
        <v>1.0528999999999999</v>
      </c>
      <c r="AB563" t="s">
        <v>50</v>
      </c>
      <c r="AC563" s="1">
        <v>0.2132</v>
      </c>
      <c r="AD563" t="s">
        <v>50</v>
      </c>
      <c r="AE563" t="s">
        <v>50</v>
      </c>
      <c r="AF563" s="1">
        <v>6.3E-2</v>
      </c>
      <c r="AG563" t="s">
        <v>50</v>
      </c>
      <c r="AH563" t="s">
        <v>50</v>
      </c>
      <c r="AI563" t="s">
        <v>50</v>
      </c>
      <c r="AJ563" t="s">
        <v>50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t="s">
        <v>1630</v>
      </c>
      <c r="AQ563" s="1">
        <v>8467</v>
      </c>
      <c r="AR563" t="s">
        <v>51</v>
      </c>
    </row>
    <row r="564" spans="1:44">
      <c r="A564" s="1">
        <v>87168</v>
      </c>
      <c r="B564" s="1">
        <v>87167</v>
      </c>
      <c r="C564" s="1">
        <v>79314</v>
      </c>
      <c r="D564" t="s">
        <v>1631</v>
      </c>
      <c r="E564" t="s">
        <v>1632</v>
      </c>
      <c r="F564" t="str">
        <f>VLOOKUP(E564,Tabela2[#All],2,FALSE)</f>
        <v>TERMINAL GARFO</v>
      </c>
      <c r="G564" t="s">
        <v>1633</v>
      </c>
      <c r="H564" s="1">
        <v>0.35</v>
      </c>
      <c r="I564" s="1">
        <v>0.35</v>
      </c>
      <c r="J564" t="s">
        <v>46</v>
      </c>
      <c r="K564" s="1">
        <v>62.228023999999998</v>
      </c>
      <c r="L564" s="1">
        <v>13</v>
      </c>
      <c r="M564" s="1">
        <v>11.49</v>
      </c>
      <c r="N564" s="1">
        <v>32901</v>
      </c>
      <c r="O564" t="s">
        <v>534</v>
      </c>
      <c r="P564" t="s">
        <v>615</v>
      </c>
      <c r="Q564" t="s">
        <v>49</v>
      </c>
      <c r="R564" t="s">
        <v>50</v>
      </c>
      <c r="S564" t="s">
        <v>50</v>
      </c>
      <c r="T564" s="1">
        <v>7.5633213399999999</v>
      </c>
      <c r="U564" s="1">
        <v>3.4977336499999998</v>
      </c>
      <c r="V564" s="1">
        <v>0</v>
      </c>
      <c r="W564" s="1">
        <v>0.41472900000000001</v>
      </c>
      <c r="X564" t="s">
        <v>50</v>
      </c>
      <c r="Y564" s="1">
        <v>2.9899999999999999E-2</v>
      </c>
      <c r="Z564" t="s">
        <v>50</v>
      </c>
      <c r="AA564" s="1">
        <v>1.32209</v>
      </c>
      <c r="AB564" t="s">
        <v>50</v>
      </c>
      <c r="AC564" s="1">
        <v>0.2132</v>
      </c>
      <c r="AD564" t="s">
        <v>50</v>
      </c>
      <c r="AE564" t="s">
        <v>50</v>
      </c>
      <c r="AF564" s="1">
        <v>5.3400000000000003E-2</v>
      </c>
      <c r="AG564" t="s">
        <v>50</v>
      </c>
      <c r="AH564" t="s">
        <v>50</v>
      </c>
      <c r="AI564" t="s">
        <v>50</v>
      </c>
      <c r="AJ564" t="s">
        <v>50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t="s">
        <v>1634</v>
      </c>
      <c r="AQ564" s="1">
        <v>8408</v>
      </c>
      <c r="AR564" t="s">
        <v>51</v>
      </c>
    </row>
    <row r="565" spans="1:44">
      <c r="A565" s="1">
        <v>87248</v>
      </c>
      <c r="B565" s="1">
        <v>87247</v>
      </c>
      <c r="C565" s="1">
        <v>79394</v>
      </c>
      <c r="D565" t="s">
        <v>1635</v>
      </c>
      <c r="E565" t="s">
        <v>1636</v>
      </c>
      <c r="F565" t="str">
        <f>VLOOKUP(E565,Tabela2[#All],2,FALSE)</f>
        <v>TERMINAL OLHAL</v>
      </c>
      <c r="G565" t="s">
        <v>1637</v>
      </c>
      <c r="H565" s="1">
        <v>0.39</v>
      </c>
      <c r="I565" s="1">
        <v>0.39</v>
      </c>
      <c r="J565" t="s">
        <v>46</v>
      </c>
      <c r="K565" s="1">
        <v>59.518071999999997</v>
      </c>
      <c r="L565" s="1">
        <v>13</v>
      </c>
      <c r="M565" s="1">
        <v>12.45</v>
      </c>
      <c r="N565" s="1">
        <v>32901</v>
      </c>
      <c r="O565" t="s">
        <v>534</v>
      </c>
      <c r="P565" t="s">
        <v>615</v>
      </c>
      <c r="Q565" t="s">
        <v>49</v>
      </c>
      <c r="R565" t="s">
        <v>50</v>
      </c>
      <c r="S565" t="s">
        <v>50</v>
      </c>
      <c r="T565" s="1">
        <v>8.9587457799999992</v>
      </c>
      <c r="U565" s="1">
        <v>4.9544277399999999</v>
      </c>
      <c r="V565" s="1">
        <v>0</v>
      </c>
      <c r="W565" s="1">
        <v>0.4621266</v>
      </c>
      <c r="X565" t="s">
        <v>50</v>
      </c>
      <c r="Y565" s="1">
        <v>5.0999999999999997E-2</v>
      </c>
      <c r="Z565" s="1">
        <v>0.22</v>
      </c>
      <c r="AA565" s="1">
        <v>1.0017</v>
      </c>
      <c r="AB565" t="s">
        <v>50</v>
      </c>
      <c r="AC565" s="1">
        <v>0.2082</v>
      </c>
      <c r="AD565" t="s">
        <v>50</v>
      </c>
      <c r="AE565" t="s">
        <v>50</v>
      </c>
      <c r="AF565" s="1">
        <v>6.3E-2</v>
      </c>
      <c r="AG565" t="s">
        <v>50</v>
      </c>
      <c r="AH565" t="s">
        <v>50</v>
      </c>
      <c r="AI565" t="s">
        <v>50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1638</v>
      </c>
      <c r="AQ565" s="1">
        <v>8447</v>
      </c>
      <c r="AR565" t="s">
        <v>51</v>
      </c>
    </row>
    <row r="566" spans="1:44">
      <c r="A566" s="1">
        <v>87288</v>
      </c>
      <c r="B566" s="1">
        <v>87287</v>
      </c>
      <c r="C566" s="1">
        <v>79434</v>
      </c>
      <c r="D566" t="s">
        <v>1639</v>
      </c>
      <c r="E566" t="s">
        <v>1640</v>
      </c>
      <c r="F566" t="str">
        <f>VLOOKUP(E566,Tabela2[#All],2,FALSE)</f>
        <v>TERMINAL OLHAL</v>
      </c>
      <c r="G566" t="s">
        <v>1641</v>
      </c>
      <c r="H566" s="1">
        <v>0.45</v>
      </c>
      <c r="I566" s="1">
        <v>0.45</v>
      </c>
      <c r="J566" t="s">
        <v>46</v>
      </c>
      <c r="K566" s="1">
        <v>57.339449999999999</v>
      </c>
      <c r="L566" s="1">
        <v>9</v>
      </c>
      <c r="M566" s="1">
        <v>9.81</v>
      </c>
      <c r="N566" s="1">
        <v>32901</v>
      </c>
      <c r="O566" t="s">
        <v>534</v>
      </c>
      <c r="P566" t="s">
        <v>615</v>
      </c>
      <c r="Q566" t="s">
        <v>49</v>
      </c>
      <c r="R566" t="s">
        <v>50</v>
      </c>
      <c r="S566" s="1">
        <v>0.33300000000000002</v>
      </c>
      <c r="T566" s="1">
        <v>10.22575069</v>
      </c>
      <c r="U566" s="1">
        <v>6.0855440099999996</v>
      </c>
      <c r="V566" s="1">
        <v>0</v>
      </c>
      <c r="W566" s="1">
        <v>0.533223</v>
      </c>
      <c r="X566" t="s">
        <v>50</v>
      </c>
      <c r="Y566" s="1">
        <v>3.9100000000000003E-2</v>
      </c>
      <c r="Z566" s="1">
        <v>0</v>
      </c>
      <c r="AA566" s="1">
        <v>1.3058000000000001</v>
      </c>
      <c r="AB566" t="s">
        <v>50</v>
      </c>
      <c r="AC566" s="1">
        <v>0.2082</v>
      </c>
      <c r="AD566" t="s">
        <v>50</v>
      </c>
      <c r="AE566" t="s">
        <v>50</v>
      </c>
      <c r="AF566" s="1">
        <v>7.9979999999999996E-2</v>
      </c>
      <c r="AG566" t="s">
        <v>50</v>
      </c>
      <c r="AH566" t="s">
        <v>50</v>
      </c>
      <c r="AI566" t="s">
        <v>50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t="s">
        <v>1642</v>
      </c>
      <c r="AQ566" s="1">
        <v>8448</v>
      </c>
      <c r="AR566" t="s">
        <v>51</v>
      </c>
    </row>
    <row r="567" spans="1:44">
      <c r="A567" s="1">
        <v>31827</v>
      </c>
      <c r="B567" s="1">
        <v>35649</v>
      </c>
      <c r="C567" s="1">
        <v>31167</v>
      </c>
      <c r="D567" t="s">
        <v>1643</v>
      </c>
      <c r="E567" t="s">
        <v>1644</v>
      </c>
      <c r="F567" t="str">
        <f>VLOOKUP(E567,Tabela2[#All],2,FALSE)</f>
        <v>TOCO</v>
      </c>
      <c r="G567" t="s">
        <v>1645</v>
      </c>
      <c r="H567" s="1">
        <v>5.5</v>
      </c>
      <c r="I567" s="1">
        <v>5.5</v>
      </c>
      <c r="J567" t="s">
        <v>46</v>
      </c>
      <c r="K567" s="1">
        <v>58.208955000000003</v>
      </c>
      <c r="L567" s="1">
        <v>6</v>
      </c>
      <c r="M567" s="1">
        <v>67</v>
      </c>
      <c r="N567" s="1">
        <v>32901</v>
      </c>
      <c r="O567" t="s">
        <v>534</v>
      </c>
      <c r="P567" t="s">
        <v>611</v>
      </c>
      <c r="Q567" t="s">
        <v>49</v>
      </c>
      <c r="R567" t="s">
        <v>50</v>
      </c>
      <c r="S567" s="1">
        <v>1.52</v>
      </c>
      <c r="T567" s="1">
        <v>61.325335430000003</v>
      </c>
      <c r="U567" s="1">
        <v>42.4865742</v>
      </c>
      <c r="V567" s="1">
        <v>0</v>
      </c>
      <c r="W567" s="1">
        <v>6.5171700000000001</v>
      </c>
      <c r="X567" s="1">
        <v>1.05</v>
      </c>
      <c r="Y567" s="1">
        <v>0.34989999999999999</v>
      </c>
      <c r="Z567" s="1">
        <v>0.5</v>
      </c>
      <c r="AA567" s="1">
        <v>1.84799</v>
      </c>
      <c r="AB567" t="s">
        <v>50</v>
      </c>
      <c r="AC567" s="1">
        <v>1.9179999999999999</v>
      </c>
      <c r="AD567" t="s">
        <v>50</v>
      </c>
      <c r="AE567" t="s">
        <v>50</v>
      </c>
      <c r="AF567" s="1">
        <v>0.4995</v>
      </c>
      <c r="AG567" t="s">
        <v>50</v>
      </c>
      <c r="AH567" t="s">
        <v>50</v>
      </c>
      <c r="AI567" t="s">
        <v>50</v>
      </c>
      <c r="AJ567" t="s">
        <v>50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t="s">
        <v>1646</v>
      </c>
      <c r="AQ567" s="1">
        <v>307</v>
      </c>
      <c r="AR567" t="s">
        <v>446</v>
      </c>
    </row>
    <row r="568" spans="1:44">
      <c r="A568" s="1">
        <v>31827</v>
      </c>
      <c r="B568" s="1">
        <v>35649</v>
      </c>
      <c r="C568" s="1">
        <v>31167</v>
      </c>
      <c r="D568" t="s">
        <v>1643</v>
      </c>
      <c r="E568" t="s">
        <v>1644</v>
      </c>
      <c r="F568" t="str">
        <f>VLOOKUP(E568,Tabela2[#All],2,FALSE)</f>
        <v>TOCO</v>
      </c>
      <c r="G568" t="s">
        <v>1647</v>
      </c>
      <c r="H568" s="1">
        <v>5.5</v>
      </c>
      <c r="I568" s="1">
        <v>5.5</v>
      </c>
      <c r="J568" t="s">
        <v>46</v>
      </c>
      <c r="K568" s="1">
        <v>59.11007</v>
      </c>
      <c r="L568" s="1">
        <v>2</v>
      </c>
      <c r="M568" s="1">
        <v>21.35</v>
      </c>
      <c r="N568" s="1">
        <v>32901</v>
      </c>
      <c r="O568" t="s">
        <v>534</v>
      </c>
      <c r="P568" t="s">
        <v>611</v>
      </c>
      <c r="Q568" t="s">
        <v>49</v>
      </c>
      <c r="R568" t="s">
        <v>50</v>
      </c>
      <c r="S568" s="1">
        <v>1.52</v>
      </c>
      <c r="T568" s="1">
        <v>61.325335430000003</v>
      </c>
      <c r="U568" s="1">
        <v>42.4865742</v>
      </c>
      <c r="V568" s="1">
        <v>0</v>
      </c>
      <c r="W568" s="1">
        <v>6.5171700000000001</v>
      </c>
      <c r="X568" s="1">
        <v>1.05</v>
      </c>
      <c r="Y568" s="1">
        <v>0.34989999999999999</v>
      </c>
      <c r="Z568" s="1">
        <v>0.5</v>
      </c>
      <c r="AA568" s="1">
        <v>1.84799</v>
      </c>
      <c r="AB568" t="s">
        <v>50</v>
      </c>
      <c r="AC568" s="1">
        <v>1.9179999999999999</v>
      </c>
      <c r="AD568" t="s">
        <v>50</v>
      </c>
      <c r="AE568" t="s">
        <v>50</v>
      </c>
      <c r="AF568" s="1">
        <v>0.4995</v>
      </c>
      <c r="AG568" t="s">
        <v>50</v>
      </c>
      <c r="AH568" t="s">
        <v>50</v>
      </c>
      <c r="AI568" t="s">
        <v>50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t="s">
        <v>1644</v>
      </c>
      <c r="AQ568" s="1">
        <v>1211</v>
      </c>
      <c r="AR568" t="s">
        <v>51</v>
      </c>
    </row>
    <row r="569" spans="1:44">
      <c r="A569" s="1">
        <v>87190</v>
      </c>
      <c r="B569" s="1">
        <v>87189</v>
      </c>
      <c r="C569" s="1">
        <v>79335</v>
      </c>
      <c r="D569" t="s">
        <v>1648</v>
      </c>
      <c r="E569" t="s">
        <v>1649</v>
      </c>
      <c r="F569" t="str">
        <f>VLOOKUP(E569,Tabela2[#All],2,FALSE)</f>
        <v>TERMINAL GARFO</v>
      </c>
      <c r="G569" t="s">
        <v>1650</v>
      </c>
      <c r="H569" s="1">
        <v>1.62</v>
      </c>
      <c r="I569" s="1">
        <v>1.62</v>
      </c>
      <c r="J569" t="s">
        <v>46</v>
      </c>
      <c r="K569" s="1">
        <v>66.265060000000005</v>
      </c>
      <c r="L569" s="1">
        <v>5</v>
      </c>
      <c r="M569" s="1">
        <v>16.600000000000001</v>
      </c>
      <c r="N569" s="1">
        <v>32901</v>
      </c>
      <c r="O569" t="s">
        <v>534</v>
      </c>
      <c r="P569" t="s">
        <v>615</v>
      </c>
      <c r="Q569" t="s">
        <v>49</v>
      </c>
      <c r="R569" t="s">
        <v>50</v>
      </c>
      <c r="S569" t="s">
        <v>50</v>
      </c>
      <c r="T569" s="1">
        <v>24.236786129999999</v>
      </c>
      <c r="U569" s="1">
        <v>13.943778050000001</v>
      </c>
      <c r="V569" s="1">
        <v>5.5073999999999996</v>
      </c>
      <c r="W569" s="1">
        <v>1.9196028000000001</v>
      </c>
      <c r="X569" t="s">
        <v>50</v>
      </c>
      <c r="Y569" s="1">
        <v>8.5000000000000006E-2</v>
      </c>
      <c r="Z569" s="1">
        <v>0.91659999999999997</v>
      </c>
      <c r="AA569" s="1">
        <v>1.7214</v>
      </c>
      <c r="AB569" t="s">
        <v>50</v>
      </c>
      <c r="AC569" s="1">
        <v>0.36359999999999998</v>
      </c>
      <c r="AD569" t="s">
        <v>50</v>
      </c>
      <c r="AE569" t="s">
        <v>50</v>
      </c>
      <c r="AF569" s="1">
        <v>0.14399999999999999</v>
      </c>
      <c r="AG569" t="s">
        <v>50</v>
      </c>
      <c r="AH569" t="s">
        <v>50</v>
      </c>
      <c r="AI569" t="s">
        <v>50</v>
      </c>
      <c r="AJ569" t="s">
        <v>50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t="s">
        <v>1651</v>
      </c>
      <c r="AQ569" s="1">
        <v>8427</v>
      </c>
      <c r="AR569" t="s">
        <v>51</v>
      </c>
    </row>
    <row r="570" spans="1:44">
      <c r="A570" s="1">
        <v>87148</v>
      </c>
      <c r="B570" s="1">
        <v>87147</v>
      </c>
      <c r="C570" s="1">
        <v>79294</v>
      </c>
      <c r="D570" t="s">
        <v>1652</v>
      </c>
      <c r="E570" t="s">
        <v>1653</v>
      </c>
      <c r="F570" t="str">
        <f>VLOOKUP(E570,Tabela2[#All],2,FALSE)</f>
        <v>ROLDANA</v>
      </c>
      <c r="G570" t="s">
        <v>1654</v>
      </c>
      <c r="H570" s="1">
        <v>0.34</v>
      </c>
      <c r="I570" s="1">
        <v>0.34</v>
      </c>
      <c r="J570" t="s">
        <v>46</v>
      </c>
      <c r="K570" s="1">
        <v>54.857143000000001</v>
      </c>
      <c r="L570" s="1">
        <v>24</v>
      </c>
      <c r="M570" s="1">
        <v>17.5</v>
      </c>
      <c r="N570" s="1">
        <v>32900</v>
      </c>
      <c r="O570" t="s">
        <v>47</v>
      </c>
      <c r="P570" t="s">
        <v>615</v>
      </c>
      <c r="Q570" t="s">
        <v>49</v>
      </c>
      <c r="R570" t="s">
        <v>50</v>
      </c>
      <c r="S570" t="s">
        <v>50</v>
      </c>
      <c r="T570" s="1">
        <v>5.3976788200000003</v>
      </c>
      <c r="U570" s="1">
        <v>3.1441755900000001</v>
      </c>
      <c r="V570" s="1">
        <v>0</v>
      </c>
      <c r="W570" s="1">
        <v>0.4028796</v>
      </c>
      <c r="X570" t="s">
        <v>50</v>
      </c>
      <c r="Y570" s="1">
        <v>5.0999999999999997E-2</v>
      </c>
      <c r="Z570" t="s">
        <v>50</v>
      </c>
      <c r="AA570" s="1">
        <v>0.46150000000000002</v>
      </c>
      <c r="AB570" t="s">
        <v>50</v>
      </c>
      <c r="AC570" s="1">
        <v>0.2132</v>
      </c>
      <c r="AD570" t="s">
        <v>50</v>
      </c>
      <c r="AE570" t="s">
        <v>50</v>
      </c>
      <c r="AF570" s="1">
        <v>3.4500000000000003E-2</v>
      </c>
      <c r="AG570" t="s">
        <v>50</v>
      </c>
      <c r="AH570" t="s">
        <v>50</v>
      </c>
      <c r="AI570" t="s">
        <v>50</v>
      </c>
      <c r="AJ570" t="s">
        <v>50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t="s">
        <v>1655</v>
      </c>
      <c r="AQ570" s="1">
        <v>8407</v>
      </c>
      <c r="AR570" t="s">
        <v>51</v>
      </c>
    </row>
    <row r="571" spans="1:44">
      <c r="A571" s="1">
        <v>44188</v>
      </c>
      <c r="B571" s="1">
        <v>44189</v>
      </c>
      <c r="C571" s="1">
        <v>39248</v>
      </c>
      <c r="D571" t="s">
        <v>1656</v>
      </c>
      <c r="E571" t="s">
        <v>1657</v>
      </c>
      <c r="F571" t="str">
        <f>VLOOKUP(E571,Tabela2[#All],2,FALSE)</f>
        <v>Válvula Nível 4</v>
      </c>
      <c r="G571" t="s">
        <v>1658</v>
      </c>
      <c r="H571" s="1">
        <v>3</v>
      </c>
      <c r="I571" s="1">
        <v>3</v>
      </c>
      <c r="J571" t="s">
        <v>65</v>
      </c>
      <c r="K571" s="1">
        <v>80.533325000000005</v>
      </c>
      <c r="L571" s="1">
        <v>3.3333330000000001</v>
      </c>
      <c r="M571" s="1">
        <v>12.5</v>
      </c>
      <c r="N571" s="1">
        <v>89565</v>
      </c>
      <c r="O571" t="s">
        <v>195</v>
      </c>
      <c r="P571" t="s">
        <v>113</v>
      </c>
      <c r="Q571" t="s">
        <v>68</v>
      </c>
      <c r="R571" t="s">
        <v>50</v>
      </c>
      <c r="S571" s="1">
        <v>0.26300000000000001</v>
      </c>
      <c r="T571" s="1">
        <v>34.312989109999997</v>
      </c>
      <c r="U571" s="1">
        <v>34.259993379999997</v>
      </c>
      <c r="V571" s="1">
        <v>0</v>
      </c>
      <c r="W571" s="1">
        <v>0</v>
      </c>
      <c r="X571" t="s">
        <v>50</v>
      </c>
      <c r="Y571" t="s">
        <v>50</v>
      </c>
      <c r="Z571" t="s">
        <v>50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s="1">
        <v>0.25</v>
      </c>
      <c r="AH571" s="1">
        <v>0.6</v>
      </c>
      <c r="AI571" t="s">
        <v>50</v>
      </c>
      <c r="AJ571" t="s">
        <v>50</v>
      </c>
      <c r="AK571" t="s">
        <v>50</v>
      </c>
      <c r="AL571" t="s">
        <v>50</v>
      </c>
      <c r="AM571" t="s">
        <v>50</v>
      </c>
      <c r="AN571" s="1">
        <v>3.6</v>
      </c>
      <c r="AO571" t="s">
        <v>50</v>
      </c>
      <c r="AP571" t="s">
        <v>1659</v>
      </c>
      <c r="AQ571" s="1">
        <v>2514</v>
      </c>
      <c r="AR571" t="s">
        <v>70</v>
      </c>
    </row>
    <row r="572" spans="1:44">
      <c r="A572" s="1">
        <v>92848</v>
      </c>
      <c r="B572" s="1">
        <v>92850</v>
      </c>
      <c r="C572" s="1">
        <v>84647</v>
      </c>
      <c r="D572" t="s">
        <v>1660</v>
      </c>
      <c r="E572" t="s">
        <v>1661</v>
      </c>
      <c r="F572" t="str">
        <f>VLOOKUP(E572,Tabela2[#All],2,FALSE)</f>
        <v>SEM FAMÍLIA</v>
      </c>
      <c r="G572" t="s">
        <v>1662</v>
      </c>
      <c r="H572" s="1">
        <v>5.4489999999999998</v>
      </c>
      <c r="I572" s="1">
        <v>5.4489999999999998</v>
      </c>
      <c r="J572" t="s">
        <v>46</v>
      </c>
      <c r="K572" s="1">
        <v>52.508651</v>
      </c>
      <c r="L572" s="1">
        <v>1</v>
      </c>
      <c r="M572" s="1">
        <v>11.56</v>
      </c>
      <c r="N572" s="1">
        <v>32963</v>
      </c>
      <c r="O572" t="s">
        <v>436</v>
      </c>
      <c r="P572" t="s">
        <v>1663</v>
      </c>
      <c r="Q572" t="s">
        <v>49</v>
      </c>
      <c r="R572" t="s">
        <v>50</v>
      </c>
      <c r="S572" t="s">
        <v>50</v>
      </c>
      <c r="T572" s="1">
        <v>94.451840630000007</v>
      </c>
      <c r="U572" s="1">
        <v>47.629353100000003</v>
      </c>
      <c r="V572" s="1">
        <v>0</v>
      </c>
      <c r="W572" s="1">
        <v>6.4567380600000002</v>
      </c>
      <c r="X572" t="s">
        <v>50</v>
      </c>
      <c r="Y572" s="1">
        <v>0.49280000000000002</v>
      </c>
      <c r="Z572" s="1">
        <v>0.55000000000000004</v>
      </c>
      <c r="AA572" s="1">
        <v>10.199999999999999</v>
      </c>
      <c r="AB572" t="s">
        <v>50</v>
      </c>
      <c r="AC572" s="1">
        <v>2.1817000000000002</v>
      </c>
      <c r="AD572" t="s">
        <v>50</v>
      </c>
      <c r="AE572" t="s">
        <v>50</v>
      </c>
      <c r="AF572" s="1">
        <v>0.99990000000000001</v>
      </c>
      <c r="AG572" t="s">
        <v>50</v>
      </c>
      <c r="AH572" t="s">
        <v>50</v>
      </c>
      <c r="AI572" t="s">
        <v>50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1664</v>
      </c>
      <c r="AQ572" s="1">
        <v>9367</v>
      </c>
      <c r="AR572" t="s">
        <v>51</v>
      </c>
    </row>
    <row r="573" spans="1:44">
      <c r="A573" s="1">
        <v>114571</v>
      </c>
      <c r="B573" s="1">
        <v>114568</v>
      </c>
      <c r="C573" s="1">
        <v>97050</v>
      </c>
      <c r="D573" t="s">
        <v>1665</v>
      </c>
      <c r="E573" t="s">
        <v>1666</v>
      </c>
      <c r="F573" t="str">
        <f>VLOOKUP(E573,Tabela2[#All],2,FALSE)</f>
        <v>PORCA</v>
      </c>
      <c r="G573" t="s">
        <v>1667</v>
      </c>
      <c r="H573" s="1">
        <v>1.5</v>
      </c>
      <c r="I573" s="1">
        <v>1.5</v>
      </c>
      <c r="J573" t="s">
        <v>46</v>
      </c>
      <c r="K573" s="1">
        <v>56.877322999999997</v>
      </c>
      <c r="L573" s="1">
        <v>6</v>
      </c>
      <c r="M573" s="1">
        <v>16.14</v>
      </c>
      <c r="N573" s="1">
        <v>32901</v>
      </c>
      <c r="O573" t="s">
        <v>534</v>
      </c>
      <c r="P573" t="s">
        <v>1262</v>
      </c>
      <c r="Q573" t="s">
        <v>350</v>
      </c>
      <c r="R573" t="s">
        <v>50</v>
      </c>
      <c r="S573" t="s">
        <v>50</v>
      </c>
      <c r="T573" s="1">
        <v>10.248678659999999</v>
      </c>
      <c r="U573" s="1">
        <v>9.7088212400000007</v>
      </c>
      <c r="V573" s="1">
        <v>6.19</v>
      </c>
      <c r="W573" s="1">
        <v>0</v>
      </c>
      <c r="X573" t="s">
        <v>50</v>
      </c>
      <c r="Y573" s="1">
        <v>2.9399999999999999E-2</v>
      </c>
      <c r="Z573" t="s">
        <v>50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s="1">
        <v>0.1956</v>
      </c>
      <c r="AG573" t="s">
        <v>50</v>
      </c>
      <c r="AH573" t="s">
        <v>50</v>
      </c>
      <c r="AI573" t="s">
        <v>50</v>
      </c>
      <c r="AJ573" t="s">
        <v>50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t="s">
        <v>1668</v>
      </c>
      <c r="AQ573" s="1">
        <v>12628</v>
      </c>
      <c r="AR573" t="s">
        <v>51</v>
      </c>
    </row>
    <row r="574" spans="1:44">
      <c r="A574" s="1">
        <v>114576</v>
      </c>
      <c r="B574" s="1">
        <v>114573</v>
      </c>
      <c r="C574" s="1">
        <v>97054</v>
      </c>
      <c r="D574" t="s">
        <v>1669</v>
      </c>
      <c r="E574" t="s">
        <v>1670</v>
      </c>
      <c r="F574" t="str">
        <f>VLOOKUP(E574,Tabela2[#All],2,FALSE)</f>
        <v>EMBOLO</v>
      </c>
      <c r="G574" t="s">
        <v>1671</v>
      </c>
      <c r="H574" s="1">
        <v>1.03</v>
      </c>
      <c r="I574" s="1">
        <v>1.03</v>
      </c>
      <c r="J574" t="s">
        <v>46</v>
      </c>
      <c r="K574" s="1">
        <v>65.875371000000001</v>
      </c>
      <c r="L574" s="1">
        <v>12</v>
      </c>
      <c r="M574" s="1">
        <v>20.22</v>
      </c>
      <c r="N574" s="1">
        <v>32991</v>
      </c>
      <c r="O574" t="s">
        <v>1672</v>
      </c>
      <c r="P574" t="s">
        <v>1262</v>
      </c>
      <c r="Q574" t="s">
        <v>350</v>
      </c>
      <c r="R574" t="s">
        <v>50</v>
      </c>
      <c r="S574" t="s">
        <v>50</v>
      </c>
      <c r="T574" s="1">
        <v>6.7019621799999998</v>
      </c>
      <c r="U574" s="1">
        <v>6.2746577099999996</v>
      </c>
      <c r="V574" s="1">
        <v>4.2525750000000002</v>
      </c>
      <c r="W574" s="1">
        <v>0</v>
      </c>
      <c r="X574" t="s">
        <v>50</v>
      </c>
      <c r="Y574" s="1">
        <v>2.8500000000000001E-2</v>
      </c>
      <c r="Z574" t="s">
        <v>50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s="1">
        <v>0.1023</v>
      </c>
      <c r="AG574" t="s">
        <v>50</v>
      </c>
      <c r="AH574" t="s">
        <v>50</v>
      </c>
      <c r="AI574" t="s">
        <v>50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1673</v>
      </c>
      <c r="AQ574" s="1">
        <v>12629</v>
      </c>
      <c r="AR574" t="s">
        <v>51</v>
      </c>
    </row>
    <row r="575" spans="1:44">
      <c r="A575" s="1">
        <v>114513</v>
      </c>
      <c r="B575" s="1">
        <v>114510</v>
      </c>
      <c r="C575" s="1">
        <v>96992</v>
      </c>
      <c r="D575" t="s">
        <v>1674</v>
      </c>
      <c r="E575" t="s">
        <v>1675</v>
      </c>
      <c r="F575" t="str">
        <f>VLOOKUP(E575,Tabela2[#All],2,FALSE)</f>
        <v>BASE</v>
      </c>
      <c r="G575" t="s">
        <v>1676</v>
      </c>
      <c r="H575" s="1">
        <v>3.4670000000000001</v>
      </c>
      <c r="I575" s="1">
        <v>3.4670000000000001</v>
      </c>
      <c r="J575" t="s">
        <v>46</v>
      </c>
      <c r="K575" s="1">
        <v>53.787878999999997</v>
      </c>
      <c r="L575" s="1">
        <v>2</v>
      </c>
      <c r="M575" s="1">
        <v>13.2</v>
      </c>
      <c r="N575" s="1">
        <v>32901</v>
      </c>
      <c r="O575" t="s">
        <v>534</v>
      </c>
      <c r="P575" t="s">
        <v>1262</v>
      </c>
      <c r="Q575" t="s">
        <v>350</v>
      </c>
      <c r="R575" t="s">
        <v>50</v>
      </c>
      <c r="S575" t="s">
        <v>50</v>
      </c>
      <c r="T575" s="1">
        <v>23.768349610000001</v>
      </c>
      <c r="U575" s="1">
        <v>22.77652848</v>
      </c>
      <c r="V575" s="1">
        <v>9.7823499999999992</v>
      </c>
      <c r="W575" s="1">
        <v>0</v>
      </c>
      <c r="X575" t="s">
        <v>50</v>
      </c>
      <c r="Y575" s="1">
        <v>8.1629999999999994E-2</v>
      </c>
      <c r="Z575" t="s">
        <v>50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s="1">
        <v>0.40920000000000001</v>
      </c>
      <c r="AG575" t="s">
        <v>50</v>
      </c>
      <c r="AH575" t="s">
        <v>50</v>
      </c>
      <c r="AI575" t="s">
        <v>50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t="s">
        <v>1677</v>
      </c>
      <c r="AQ575" s="1">
        <v>12607</v>
      </c>
      <c r="AR575" t="s">
        <v>51</v>
      </c>
    </row>
    <row r="576" spans="1:44">
      <c r="A576" s="1">
        <v>49862</v>
      </c>
      <c r="B576" s="1">
        <v>49866</v>
      </c>
      <c r="C576" s="1">
        <v>44606</v>
      </c>
      <c r="D576" t="s">
        <v>1678</v>
      </c>
      <c r="E576" t="s">
        <v>1679</v>
      </c>
      <c r="F576" t="str">
        <f>VLOOKUP(E576,Tabela2[#All],2,FALSE)</f>
        <v>POLIA</v>
      </c>
      <c r="G576" t="s">
        <v>1680</v>
      </c>
      <c r="H576" s="1">
        <v>3.34</v>
      </c>
      <c r="I576" s="1">
        <v>3.34</v>
      </c>
      <c r="J576" t="s">
        <v>46</v>
      </c>
      <c r="K576" s="1">
        <v>63.331370999999997</v>
      </c>
      <c r="L576" s="1">
        <v>2</v>
      </c>
      <c r="M576" s="1">
        <v>16.989999999999998</v>
      </c>
      <c r="N576" s="1">
        <v>33009</v>
      </c>
      <c r="O576" t="s">
        <v>74</v>
      </c>
      <c r="P576" t="s">
        <v>1681</v>
      </c>
      <c r="Q576" t="s">
        <v>1424</v>
      </c>
      <c r="R576" t="s">
        <v>50</v>
      </c>
      <c r="S576" t="s">
        <v>50</v>
      </c>
      <c r="T576" s="1">
        <v>62.061038680000003</v>
      </c>
      <c r="U576" s="1">
        <v>28.683501110000002</v>
      </c>
      <c r="V576" s="1">
        <v>0</v>
      </c>
      <c r="W576" s="1">
        <v>0</v>
      </c>
      <c r="X576" t="s">
        <v>50</v>
      </c>
      <c r="Y576" s="1">
        <v>0.15</v>
      </c>
      <c r="Z576" s="1">
        <v>0.89549999999999996</v>
      </c>
      <c r="AA576" s="1">
        <v>8</v>
      </c>
      <c r="AB576" s="1">
        <v>3</v>
      </c>
      <c r="AC576" t="s">
        <v>50</v>
      </c>
      <c r="AD576" t="s">
        <v>50</v>
      </c>
      <c r="AE576" s="1">
        <v>0.71960000000000002</v>
      </c>
      <c r="AF576" s="1">
        <v>0.375</v>
      </c>
      <c r="AG576" t="s">
        <v>50</v>
      </c>
      <c r="AH576" t="s">
        <v>50</v>
      </c>
      <c r="AI576" t="s">
        <v>50</v>
      </c>
      <c r="AJ576" t="s">
        <v>50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t="s">
        <v>1679</v>
      </c>
      <c r="AQ576" s="1">
        <v>2678</v>
      </c>
      <c r="AR576" t="s">
        <v>51</v>
      </c>
    </row>
    <row r="577" spans="1:44">
      <c r="A577" s="1">
        <v>50074</v>
      </c>
      <c r="B577" s="1">
        <v>50080</v>
      </c>
      <c r="C577" s="1">
        <v>44801</v>
      </c>
      <c r="D577" t="s">
        <v>1682</v>
      </c>
      <c r="E577" t="s">
        <v>1683</v>
      </c>
      <c r="F577" t="str">
        <f>VLOOKUP(E577,Tabela2[#All],2,FALSE)</f>
        <v>POLIA</v>
      </c>
      <c r="G577" t="s">
        <v>1684</v>
      </c>
      <c r="H577" s="1">
        <v>0.78</v>
      </c>
      <c r="I577" s="1">
        <v>0.78</v>
      </c>
      <c r="J577" t="s">
        <v>46</v>
      </c>
      <c r="K577" s="1">
        <v>47.927031999999997</v>
      </c>
      <c r="L577" s="1">
        <v>6</v>
      </c>
      <c r="M577" s="1">
        <v>18.09</v>
      </c>
      <c r="N577" s="1">
        <v>33013</v>
      </c>
      <c r="O577" t="s">
        <v>1085</v>
      </c>
      <c r="P577" t="s">
        <v>1681</v>
      </c>
      <c r="Q577" t="s">
        <v>1424</v>
      </c>
      <c r="R577" t="s">
        <v>50</v>
      </c>
      <c r="S577" t="s">
        <v>50</v>
      </c>
      <c r="T577" s="1">
        <v>20.575242410000001</v>
      </c>
      <c r="U577" s="1">
        <v>9.2248313799999995</v>
      </c>
      <c r="V577" s="1">
        <v>0</v>
      </c>
      <c r="W577" s="1">
        <v>0</v>
      </c>
      <c r="X577" t="s">
        <v>50</v>
      </c>
      <c r="Y577" t="s">
        <v>50</v>
      </c>
      <c r="Z577" t="s">
        <v>50</v>
      </c>
      <c r="AA577" s="1">
        <v>4.2699999999999996</v>
      </c>
      <c r="AB577" t="s">
        <v>50</v>
      </c>
      <c r="AC577" t="s">
        <v>50</v>
      </c>
      <c r="AD577" t="s">
        <v>50</v>
      </c>
      <c r="AE577" s="1">
        <v>0.7</v>
      </c>
      <c r="AF577" s="1">
        <v>0.13299900000000001</v>
      </c>
      <c r="AG577" t="s">
        <v>50</v>
      </c>
      <c r="AH577" t="s">
        <v>50</v>
      </c>
      <c r="AI577" t="s">
        <v>50</v>
      </c>
      <c r="AJ577" t="s">
        <v>50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t="s">
        <v>1685</v>
      </c>
      <c r="AQ577" s="1">
        <v>2718</v>
      </c>
      <c r="AR577" t="s">
        <v>51</v>
      </c>
    </row>
    <row r="578" spans="1:44">
      <c r="A578" s="1">
        <v>117613</v>
      </c>
      <c r="B578" s="1">
        <v>117612</v>
      </c>
      <c r="C578" s="1">
        <v>99993</v>
      </c>
      <c r="D578" t="s">
        <v>1686</v>
      </c>
      <c r="E578" t="s">
        <v>1687</v>
      </c>
      <c r="F578" t="str">
        <f>VLOOKUP(E578,Tabela2[#All],2,FALSE)</f>
        <v>POLIA</v>
      </c>
      <c r="G578" t="s">
        <v>1688</v>
      </c>
      <c r="H578" s="1">
        <v>0.53</v>
      </c>
      <c r="I578" s="1">
        <v>0.53</v>
      </c>
      <c r="J578" t="s">
        <v>46</v>
      </c>
      <c r="K578" s="1">
        <v>43.727598999999998</v>
      </c>
      <c r="L578" s="1">
        <v>6</v>
      </c>
      <c r="M578" s="1">
        <v>16.739999999999998</v>
      </c>
      <c r="N578" s="1">
        <v>32991</v>
      </c>
      <c r="O578" t="s">
        <v>1672</v>
      </c>
      <c r="P578" t="s">
        <v>1681</v>
      </c>
      <c r="Q578" t="s">
        <v>1424</v>
      </c>
      <c r="R578" t="s">
        <v>50</v>
      </c>
      <c r="S578" t="s">
        <v>50</v>
      </c>
      <c r="T578" s="1">
        <v>16.995280000000001</v>
      </c>
      <c r="U578" s="1">
        <v>9.0870273099999999</v>
      </c>
      <c r="V578" s="1">
        <v>3.3449499999999999</v>
      </c>
      <c r="W578" s="1">
        <v>0</v>
      </c>
      <c r="X578" t="s">
        <v>50</v>
      </c>
      <c r="Y578" s="1">
        <v>0.05</v>
      </c>
      <c r="Z578" t="s">
        <v>50</v>
      </c>
      <c r="AA578" s="1">
        <v>3.15</v>
      </c>
      <c r="AB578" t="s">
        <v>50</v>
      </c>
      <c r="AC578" t="s">
        <v>50</v>
      </c>
      <c r="AD578" t="s">
        <v>50</v>
      </c>
      <c r="AE578" s="1">
        <v>0.78</v>
      </c>
      <c r="AF578" s="1">
        <v>0.12509999999999999</v>
      </c>
      <c r="AG578" t="s">
        <v>50</v>
      </c>
      <c r="AH578" t="s">
        <v>50</v>
      </c>
      <c r="AI578" t="s">
        <v>50</v>
      </c>
      <c r="AJ578" t="s">
        <v>50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t="s">
        <v>1689</v>
      </c>
      <c r="AQ578" s="1">
        <v>13347</v>
      </c>
      <c r="AR578" t="s">
        <v>51</v>
      </c>
    </row>
    <row r="579" spans="1:44">
      <c r="A579" s="1">
        <v>49864</v>
      </c>
      <c r="B579" s="1">
        <v>49867</v>
      </c>
      <c r="C579" s="1">
        <v>44608</v>
      </c>
      <c r="D579" t="s">
        <v>1690</v>
      </c>
      <c r="E579" t="s">
        <v>1691</v>
      </c>
      <c r="F579" t="str">
        <f>VLOOKUP(E579,Tabela2[#All],2,FALSE)</f>
        <v>POLIA</v>
      </c>
      <c r="G579" t="s">
        <v>1692</v>
      </c>
      <c r="H579" s="1">
        <v>5.08</v>
      </c>
      <c r="I579" s="1">
        <v>5.08</v>
      </c>
      <c r="J579" t="s">
        <v>46</v>
      </c>
      <c r="K579" s="1">
        <v>58.203415</v>
      </c>
      <c r="L579" s="1">
        <v>1</v>
      </c>
      <c r="M579" s="1">
        <v>13.47</v>
      </c>
      <c r="N579" s="1">
        <v>33009</v>
      </c>
      <c r="O579" t="s">
        <v>74</v>
      </c>
      <c r="P579" t="s">
        <v>1681</v>
      </c>
      <c r="Q579" t="s">
        <v>1424</v>
      </c>
      <c r="R579" t="s">
        <v>50</v>
      </c>
      <c r="S579" t="s">
        <v>50</v>
      </c>
      <c r="T579" s="1">
        <v>81.278450210000003</v>
      </c>
      <c r="U579" s="1">
        <v>46.711364459999999</v>
      </c>
      <c r="V579" s="1">
        <v>0</v>
      </c>
      <c r="W579" s="1">
        <v>0</v>
      </c>
      <c r="X579" t="s">
        <v>50</v>
      </c>
      <c r="Y579" s="1">
        <v>0.1636</v>
      </c>
      <c r="Z579" s="1">
        <v>0.89549999999999996</v>
      </c>
      <c r="AA579" s="1">
        <v>8.1578999999999997</v>
      </c>
      <c r="AB579" s="1">
        <v>3.1577999999999999</v>
      </c>
      <c r="AC579" t="s">
        <v>50</v>
      </c>
      <c r="AD579" t="s">
        <v>50</v>
      </c>
      <c r="AE579" s="1">
        <v>0.77700000000000002</v>
      </c>
      <c r="AF579" s="1">
        <v>0.75</v>
      </c>
      <c r="AG579" t="s">
        <v>50</v>
      </c>
      <c r="AH579" t="s">
        <v>50</v>
      </c>
      <c r="AI579" t="s">
        <v>50</v>
      </c>
      <c r="AJ579" t="s">
        <v>50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t="s">
        <v>1690</v>
      </c>
      <c r="AQ579" s="1">
        <v>2679</v>
      </c>
      <c r="AR579" t="s">
        <v>51</v>
      </c>
    </row>
    <row r="580" spans="1:44">
      <c r="A580" s="1">
        <v>50078</v>
      </c>
      <c r="B580" s="1">
        <v>50083</v>
      </c>
      <c r="C580" s="1">
        <v>44805</v>
      </c>
      <c r="D580" t="s">
        <v>1693</v>
      </c>
      <c r="E580" t="s">
        <v>1694</v>
      </c>
      <c r="F580" t="str">
        <f>VLOOKUP(E580,Tabela2[#All],2,FALSE)</f>
        <v>POLIA</v>
      </c>
      <c r="G580" t="s">
        <v>1695</v>
      </c>
      <c r="H580" s="1">
        <v>4.5999999999999996</v>
      </c>
      <c r="I580" s="1">
        <v>4.5999999999999996</v>
      </c>
      <c r="J580" t="s">
        <v>46</v>
      </c>
      <c r="K580" s="1">
        <v>63.071612999999999</v>
      </c>
      <c r="L580" s="1">
        <v>2</v>
      </c>
      <c r="M580" s="1">
        <v>23.18</v>
      </c>
      <c r="N580" s="1">
        <v>33013</v>
      </c>
      <c r="O580" t="s">
        <v>1085</v>
      </c>
      <c r="P580" t="s">
        <v>1681</v>
      </c>
      <c r="Q580" t="s">
        <v>1424</v>
      </c>
      <c r="R580" t="s">
        <v>50</v>
      </c>
      <c r="S580" t="s">
        <v>50</v>
      </c>
      <c r="T580" s="1">
        <v>63.792876069999998</v>
      </c>
      <c r="U580" s="1">
        <v>36.994118210000003</v>
      </c>
      <c r="V580" s="1">
        <v>0</v>
      </c>
      <c r="W580" s="1">
        <v>0</v>
      </c>
      <c r="X580" t="s">
        <v>50</v>
      </c>
      <c r="Y580" s="1">
        <v>0.1636</v>
      </c>
      <c r="Z580" s="1">
        <v>0.89549999999999996</v>
      </c>
      <c r="AA580" s="1">
        <v>8.5294000000000008</v>
      </c>
      <c r="AB580" s="1">
        <v>3.1577999999999999</v>
      </c>
      <c r="AC580" t="s">
        <v>50</v>
      </c>
      <c r="AD580" t="s">
        <v>50</v>
      </c>
      <c r="AE580" s="1">
        <v>0.77700000000000002</v>
      </c>
      <c r="AF580" s="1">
        <v>0.39900000000000002</v>
      </c>
      <c r="AG580" t="s">
        <v>50</v>
      </c>
      <c r="AH580" t="s">
        <v>50</v>
      </c>
      <c r="AI580" t="s">
        <v>50</v>
      </c>
      <c r="AJ580" t="s">
        <v>50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t="s">
        <v>1694</v>
      </c>
      <c r="AQ580" s="1">
        <v>2720</v>
      </c>
      <c r="AR580" t="s">
        <v>51</v>
      </c>
    </row>
    <row r="581" spans="1:44">
      <c r="A581" s="1">
        <v>50072</v>
      </c>
      <c r="B581" s="1">
        <v>50082</v>
      </c>
      <c r="C581" s="1">
        <v>44799</v>
      </c>
      <c r="D581" t="s">
        <v>1696</v>
      </c>
      <c r="E581" t="s">
        <v>1697</v>
      </c>
      <c r="F581" t="str">
        <f>VLOOKUP(E581,Tabela2[#All],2,FALSE)</f>
        <v>POLIA</v>
      </c>
      <c r="G581" t="s">
        <v>1698</v>
      </c>
      <c r="H581" s="1">
        <v>0.46</v>
      </c>
      <c r="I581" s="1">
        <v>0.46</v>
      </c>
      <c r="J581" t="s">
        <v>46</v>
      </c>
      <c r="K581" s="1">
        <v>54.736842000000003</v>
      </c>
      <c r="L581" s="1">
        <v>8</v>
      </c>
      <c r="M581" s="1">
        <v>15.2</v>
      </c>
      <c r="N581" s="1">
        <v>32991</v>
      </c>
      <c r="O581" t="s">
        <v>1672</v>
      </c>
      <c r="P581" t="s">
        <v>1681</v>
      </c>
      <c r="Q581" t="s">
        <v>1424</v>
      </c>
      <c r="R581" t="s">
        <v>50</v>
      </c>
      <c r="S581" t="s">
        <v>50</v>
      </c>
      <c r="T581" s="1">
        <v>16.330896429999999</v>
      </c>
      <c r="U581" s="1">
        <v>6.9373448299999998</v>
      </c>
      <c r="V581" s="1">
        <v>0</v>
      </c>
      <c r="W581" s="1">
        <v>0</v>
      </c>
      <c r="X581" t="s">
        <v>50</v>
      </c>
      <c r="Y581" s="1">
        <v>0.06</v>
      </c>
      <c r="Z581" t="s">
        <v>50</v>
      </c>
      <c r="AA581" s="1">
        <v>4.47</v>
      </c>
      <c r="AB581" t="s">
        <v>50</v>
      </c>
      <c r="AC581" t="s">
        <v>50</v>
      </c>
      <c r="AD581" t="s">
        <v>50</v>
      </c>
      <c r="AE581" s="1">
        <v>0.7</v>
      </c>
      <c r="AF581" s="1">
        <v>9.375E-2</v>
      </c>
      <c r="AG581" t="s">
        <v>50</v>
      </c>
      <c r="AH581" t="s">
        <v>50</v>
      </c>
      <c r="AI581" t="s">
        <v>50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t="s">
        <v>1697</v>
      </c>
      <c r="AQ581" s="1">
        <v>2717</v>
      </c>
      <c r="AR581" t="s">
        <v>51</v>
      </c>
    </row>
    <row r="582" spans="1:44">
      <c r="A582" s="1">
        <v>108007</v>
      </c>
      <c r="B582" s="1">
        <v>108030</v>
      </c>
      <c r="C582" s="1">
        <v>46974</v>
      </c>
      <c r="D582" t="s">
        <v>1699</v>
      </c>
      <c r="E582" t="s">
        <v>1700</v>
      </c>
      <c r="F582" t="str">
        <f>VLOOKUP(E582,Tabela2[#All],2,FALSE)</f>
        <v>CORPO DE BOMBA</v>
      </c>
      <c r="G582" t="s">
        <v>1701</v>
      </c>
      <c r="H582" s="1">
        <v>7.65</v>
      </c>
      <c r="I582" s="1">
        <v>7.65</v>
      </c>
      <c r="J582" t="s">
        <v>46</v>
      </c>
      <c r="K582" s="1">
        <v>53.176796000000003</v>
      </c>
      <c r="L582" s="1">
        <v>1</v>
      </c>
      <c r="M582" s="1">
        <v>14.48</v>
      </c>
      <c r="N582" s="1">
        <v>33009</v>
      </c>
      <c r="O582" t="s">
        <v>74</v>
      </c>
      <c r="P582" t="s">
        <v>113</v>
      </c>
      <c r="Q582" t="s">
        <v>68</v>
      </c>
      <c r="R582" t="s">
        <v>50</v>
      </c>
      <c r="S582" t="s">
        <v>50</v>
      </c>
      <c r="T582" s="1">
        <v>53.727429999999998</v>
      </c>
      <c r="U582" s="1">
        <v>52.298635429999997</v>
      </c>
      <c r="V582" s="1">
        <v>21.807099999999998</v>
      </c>
      <c r="W582" s="1">
        <v>0</v>
      </c>
      <c r="X582" t="s">
        <v>50</v>
      </c>
      <c r="Y582" s="1">
        <v>0.1</v>
      </c>
      <c r="Z582" t="s">
        <v>50</v>
      </c>
      <c r="AA582" t="s">
        <v>50</v>
      </c>
      <c r="AB582" t="s">
        <v>50</v>
      </c>
      <c r="AC582" t="s">
        <v>50</v>
      </c>
      <c r="AD582" s="1">
        <v>0.51</v>
      </c>
      <c r="AE582" t="s">
        <v>50</v>
      </c>
      <c r="AF582" s="1">
        <v>0.81810000000000005</v>
      </c>
      <c r="AG582" t="s">
        <v>50</v>
      </c>
      <c r="AH582" t="s">
        <v>50</v>
      </c>
      <c r="AI582" t="s">
        <v>50</v>
      </c>
      <c r="AJ582" t="s">
        <v>50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t="s">
        <v>1700</v>
      </c>
      <c r="AQ582" s="1">
        <v>10887</v>
      </c>
      <c r="AR582" t="s">
        <v>51</v>
      </c>
    </row>
    <row r="583" spans="1:44">
      <c r="A583" s="1">
        <v>31658</v>
      </c>
      <c r="B583" s="1">
        <v>38237</v>
      </c>
      <c r="C583" s="1">
        <v>30998</v>
      </c>
      <c r="D583" t="s">
        <v>1702</v>
      </c>
      <c r="E583" t="s">
        <v>1703</v>
      </c>
      <c r="F583" t="str">
        <f>VLOOKUP(E583,Tabela2[#All],2,FALSE)</f>
        <v>FLANGE</v>
      </c>
      <c r="G583" t="s">
        <v>1704</v>
      </c>
      <c r="H583" s="1">
        <v>10.28</v>
      </c>
      <c r="I583" s="1">
        <v>10.28</v>
      </c>
      <c r="J583" t="s">
        <v>46</v>
      </c>
      <c r="K583" s="1">
        <v>60.199005</v>
      </c>
      <c r="L583" s="1">
        <v>1</v>
      </c>
      <c r="M583" s="1">
        <v>18.09</v>
      </c>
      <c r="N583" s="1">
        <v>32958</v>
      </c>
      <c r="O583" t="s">
        <v>81</v>
      </c>
      <c r="P583" t="s">
        <v>256</v>
      </c>
      <c r="Q583" t="s">
        <v>49</v>
      </c>
      <c r="R583" t="s">
        <v>50</v>
      </c>
      <c r="S583" t="s">
        <v>50</v>
      </c>
      <c r="T583" s="1">
        <v>123.46652862000001</v>
      </c>
      <c r="U583" s="1">
        <v>82.136556380000002</v>
      </c>
      <c r="V583" s="1">
        <v>0</v>
      </c>
      <c r="W583" s="1">
        <v>12.1811832</v>
      </c>
      <c r="X583" t="s">
        <v>50</v>
      </c>
      <c r="Y583" s="1">
        <v>0.90780000000000005</v>
      </c>
      <c r="Z583" s="1">
        <v>0.66600000000000004</v>
      </c>
      <c r="AA583" s="1">
        <v>0.92310000000000003</v>
      </c>
      <c r="AB583" t="s">
        <v>50</v>
      </c>
      <c r="AC583" s="1">
        <v>4.8</v>
      </c>
      <c r="AD583" t="s">
        <v>50</v>
      </c>
      <c r="AE583" s="1">
        <v>0.5</v>
      </c>
      <c r="AF583" s="1">
        <v>0.99990000000000001</v>
      </c>
      <c r="AG583" t="s">
        <v>50</v>
      </c>
      <c r="AH583" t="s">
        <v>50</v>
      </c>
      <c r="AI583" t="s">
        <v>50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t="s">
        <v>1705</v>
      </c>
      <c r="AQ583" s="1">
        <v>6227</v>
      </c>
      <c r="AR583" t="s">
        <v>51</v>
      </c>
    </row>
    <row r="584" spans="1:44">
      <c r="A584" s="1">
        <v>86566</v>
      </c>
      <c r="B584" s="1">
        <v>38237</v>
      </c>
      <c r="C584" s="1">
        <v>30998</v>
      </c>
      <c r="D584" t="s">
        <v>1706</v>
      </c>
      <c r="E584" t="s">
        <v>1703</v>
      </c>
      <c r="F584" t="str">
        <f>VLOOKUP(E584,Tabela2[#All],2,FALSE)</f>
        <v>FLANGE</v>
      </c>
      <c r="G584" t="s">
        <v>1704</v>
      </c>
      <c r="H584" s="1">
        <v>10.75</v>
      </c>
      <c r="I584" s="1">
        <v>10.75</v>
      </c>
      <c r="J584" t="s">
        <v>46</v>
      </c>
      <c r="K584" s="1">
        <v>60.199005</v>
      </c>
      <c r="L584" s="1">
        <v>1</v>
      </c>
      <c r="M584" s="1">
        <v>18.09</v>
      </c>
      <c r="N584" s="1">
        <v>32958</v>
      </c>
      <c r="O584" t="s">
        <v>81</v>
      </c>
      <c r="P584" t="s">
        <v>256</v>
      </c>
      <c r="Q584" t="s">
        <v>49</v>
      </c>
      <c r="R584" t="s">
        <v>50</v>
      </c>
      <c r="S584" t="s">
        <v>50</v>
      </c>
      <c r="T584" s="1">
        <v>83.950641000000005</v>
      </c>
      <c r="U584" s="1">
        <v>82.136556380000002</v>
      </c>
      <c r="V584" s="1">
        <v>0</v>
      </c>
      <c r="W584" s="1">
        <v>0</v>
      </c>
      <c r="X584" t="s">
        <v>50</v>
      </c>
      <c r="Y584" s="1">
        <v>0.43419999999999997</v>
      </c>
      <c r="Z584" t="s">
        <v>50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s="1">
        <v>0.99990000000000001</v>
      </c>
      <c r="AG584" t="s">
        <v>50</v>
      </c>
      <c r="AH584" t="s">
        <v>50</v>
      </c>
      <c r="AI584" t="s">
        <v>50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t="s">
        <v>1705</v>
      </c>
      <c r="AQ584" s="1">
        <v>6227</v>
      </c>
      <c r="AR584" t="s">
        <v>51</v>
      </c>
    </row>
    <row r="585" spans="1:44">
      <c r="A585" s="1">
        <v>32889</v>
      </c>
      <c r="B585" s="1">
        <v>38483</v>
      </c>
      <c r="C585" s="1">
        <v>32227</v>
      </c>
      <c r="D585" t="s">
        <v>1707</v>
      </c>
      <c r="E585" t="s">
        <v>1708</v>
      </c>
      <c r="F585" t="str">
        <f>VLOOKUP(E585,Tabela2[#All],2,FALSE)</f>
        <v>FLANGE</v>
      </c>
      <c r="G585" t="s">
        <v>1709</v>
      </c>
      <c r="H585" s="1">
        <v>3.585</v>
      </c>
      <c r="I585" s="1">
        <v>3.585</v>
      </c>
      <c r="J585" t="s">
        <v>46</v>
      </c>
      <c r="K585" s="1">
        <v>58.392999000000003</v>
      </c>
      <c r="L585" s="1">
        <v>2</v>
      </c>
      <c r="M585" s="1">
        <v>12.57</v>
      </c>
      <c r="N585" s="1">
        <v>32958</v>
      </c>
      <c r="O585" t="s">
        <v>81</v>
      </c>
      <c r="P585" t="s">
        <v>256</v>
      </c>
      <c r="Q585" t="s">
        <v>49</v>
      </c>
      <c r="R585" t="s">
        <v>50</v>
      </c>
      <c r="S585" s="1">
        <v>1.88</v>
      </c>
      <c r="T585" s="1">
        <v>50.162858700000001</v>
      </c>
      <c r="U585" s="1">
        <v>30.87923593</v>
      </c>
      <c r="V585" s="1">
        <v>9.9739000000000004</v>
      </c>
      <c r="W585" s="1">
        <v>4.2480098999999996</v>
      </c>
      <c r="X585" t="s">
        <v>50</v>
      </c>
      <c r="Y585" s="1">
        <v>0.41649999999999998</v>
      </c>
      <c r="Z585" s="1">
        <v>0.33300000000000002</v>
      </c>
      <c r="AA585" t="s">
        <v>50</v>
      </c>
      <c r="AB585" t="s">
        <v>50</v>
      </c>
      <c r="AC585" s="1">
        <v>1.32</v>
      </c>
      <c r="AD585" t="s">
        <v>50</v>
      </c>
      <c r="AE585" s="1">
        <v>0.3</v>
      </c>
      <c r="AF585" s="1">
        <v>0.40920000000000001</v>
      </c>
      <c r="AG585" t="s">
        <v>50</v>
      </c>
      <c r="AH585" t="s">
        <v>50</v>
      </c>
      <c r="AI585" t="s">
        <v>50</v>
      </c>
      <c r="AJ585" t="s">
        <v>50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t="s">
        <v>1710</v>
      </c>
      <c r="AQ585" s="1">
        <v>12767</v>
      </c>
      <c r="AR585" t="s">
        <v>51</v>
      </c>
    </row>
    <row r="586" spans="1:44">
      <c r="A586" s="1">
        <v>63699</v>
      </c>
      <c r="B586" s="1">
        <v>63701</v>
      </c>
      <c r="C586" s="1">
        <v>57672</v>
      </c>
      <c r="D586" t="s">
        <v>1711</v>
      </c>
      <c r="E586" t="s">
        <v>1712</v>
      </c>
      <c r="F586" t="str">
        <f>VLOOKUP(E586,Tabela2[#All],2,FALSE)</f>
        <v>CORPO DE BOMBA</v>
      </c>
      <c r="G586" t="s">
        <v>1713</v>
      </c>
      <c r="H586" s="1">
        <v>3.1</v>
      </c>
      <c r="I586" s="1">
        <v>3.1</v>
      </c>
      <c r="J586" t="s">
        <v>46</v>
      </c>
      <c r="K586" s="1">
        <v>54.915253999999997</v>
      </c>
      <c r="L586" s="1">
        <v>2</v>
      </c>
      <c r="M586" s="1">
        <v>11.8</v>
      </c>
      <c r="N586" s="1">
        <v>32958</v>
      </c>
      <c r="O586" t="s">
        <v>81</v>
      </c>
      <c r="P586" t="s">
        <v>113</v>
      </c>
      <c r="Q586" t="s">
        <v>68</v>
      </c>
      <c r="R586" t="s">
        <v>50</v>
      </c>
      <c r="S586" t="s">
        <v>50</v>
      </c>
      <c r="T586" s="1">
        <v>24.044331880000001</v>
      </c>
      <c r="U586" s="1">
        <v>23.482018020000002</v>
      </c>
      <c r="V586" s="1">
        <v>0</v>
      </c>
      <c r="W586" s="1">
        <v>0</v>
      </c>
      <c r="X586" t="s">
        <v>50</v>
      </c>
      <c r="Y586" s="1">
        <v>5.5E-2</v>
      </c>
      <c r="Z586" t="s">
        <v>50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s="1">
        <v>0.45</v>
      </c>
      <c r="AG586" t="s">
        <v>50</v>
      </c>
      <c r="AH586" t="s">
        <v>50</v>
      </c>
      <c r="AI586" t="s">
        <v>50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t="s">
        <v>1712</v>
      </c>
      <c r="AQ586" s="1">
        <v>4768</v>
      </c>
      <c r="AR586" t="s">
        <v>51</v>
      </c>
    </row>
    <row r="587" spans="1:44">
      <c r="A587" s="1">
        <v>63697</v>
      </c>
      <c r="B587" s="1">
        <v>63702</v>
      </c>
      <c r="C587" s="1">
        <v>57670</v>
      </c>
      <c r="D587" t="s">
        <v>1714</v>
      </c>
      <c r="E587" t="s">
        <v>1715</v>
      </c>
      <c r="F587" t="str">
        <f>VLOOKUP(E587,Tabela2[#All],2,FALSE)</f>
        <v>CORPO DE BOMBA</v>
      </c>
      <c r="G587" t="s">
        <v>1716</v>
      </c>
      <c r="H587" s="1">
        <v>3.6</v>
      </c>
      <c r="I587" s="1">
        <v>3.6</v>
      </c>
      <c r="J587" t="s">
        <v>46</v>
      </c>
      <c r="K587" s="1">
        <v>60.223641999999998</v>
      </c>
      <c r="L587" s="1">
        <v>2</v>
      </c>
      <c r="M587" s="1">
        <v>12.52</v>
      </c>
      <c r="N587" s="1">
        <v>32958</v>
      </c>
      <c r="O587" t="s">
        <v>81</v>
      </c>
      <c r="P587" t="s">
        <v>113</v>
      </c>
      <c r="Q587" t="s">
        <v>68</v>
      </c>
      <c r="R587" t="s">
        <v>50</v>
      </c>
      <c r="S587" t="s">
        <v>50</v>
      </c>
      <c r="T587" s="1">
        <v>28.388668899999999</v>
      </c>
      <c r="U587" s="1">
        <v>27.695644730000001</v>
      </c>
      <c r="V587" s="1">
        <v>0</v>
      </c>
      <c r="W587" s="1">
        <v>0</v>
      </c>
      <c r="X587" t="s">
        <v>50</v>
      </c>
      <c r="Y587" s="1">
        <v>6.3589999999999994E-2</v>
      </c>
      <c r="Z587" t="s">
        <v>50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s="1">
        <v>0.45</v>
      </c>
      <c r="AG587" t="s">
        <v>50</v>
      </c>
      <c r="AH587" t="s">
        <v>50</v>
      </c>
      <c r="AI587" t="s">
        <v>50</v>
      </c>
      <c r="AJ587" t="s">
        <v>50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t="s">
        <v>1714</v>
      </c>
      <c r="AQ587" s="1">
        <v>4767</v>
      </c>
      <c r="AR587" t="s">
        <v>51</v>
      </c>
    </row>
    <row r="588" spans="1:44">
      <c r="A588" s="1">
        <v>64119</v>
      </c>
      <c r="B588" s="1">
        <v>64120</v>
      </c>
      <c r="C588" s="1">
        <v>58092</v>
      </c>
      <c r="D588" t="s">
        <v>1717</v>
      </c>
      <c r="E588" t="s">
        <v>1718</v>
      </c>
      <c r="F588" t="str">
        <f>VLOOKUP(E588,Tabela2[#All],2,FALSE)</f>
        <v>Válvula Nível 3</v>
      </c>
      <c r="G588" t="s">
        <v>1719</v>
      </c>
      <c r="H588" s="1">
        <v>6.7</v>
      </c>
      <c r="I588" s="1">
        <v>6.7</v>
      </c>
      <c r="J588" t="s">
        <v>65</v>
      </c>
      <c r="K588" s="1">
        <v>77.492536999999999</v>
      </c>
      <c r="L588" s="1">
        <v>1.6</v>
      </c>
      <c r="M588" s="1">
        <v>13.4</v>
      </c>
      <c r="N588" s="1">
        <v>36446</v>
      </c>
      <c r="O588" t="s">
        <v>119</v>
      </c>
      <c r="P588" t="s">
        <v>113</v>
      </c>
      <c r="Q588" t="s">
        <v>68</v>
      </c>
      <c r="R588" t="s">
        <v>50</v>
      </c>
      <c r="S588" t="s">
        <v>50</v>
      </c>
      <c r="T588" s="1">
        <v>66.582455109999998</v>
      </c>
      <c r="U588" s="1">
        <v>66.370472179999993</v>
      </c>
      <c r="V588" s="1">
        <v>0</v>
      </c>
      <c r="W588" s="1">
        <v>0</v>
      </c>
      <c r="X588" t="s">
        <v>50</v>
      </c>
      <c r="Y588" t="s">
        <v>50</v>
      </c>
      <c r="Z588" t="s">
        <v>50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50</v>
      </c>
      <c r="AG588" s="1">
        <v>0.83330000000000004</v>
      </c>
      <c r="AH588" t="s">
        <v>50</v>
      </c>
      <c r="AI588" t="s">
        <v>50</v>
      </c>
      <c r="AJ588" t="s">
        <v>50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t="s">
        <v>1720</v>
      </c>
      <c r="AQ588" s="1">
        <v>4887</v>
      </c>
      <c r="AR588" t="s">
        <v>70</v>
      </c>
    </row>
    <row r="589" spans="1:44">
      <c r="A589" s="1">
        <v>64121</v>
      </c>
      <c r="B589" s="1">
        <v>64123</v>
      </c>
      <c r="C589" s="1">
        <v>58094</v>
      </c>
      <c r="D589" t="s">
        <v>1721</v>
      </c>
      <c r="E589" t="s">
        <v>1722</v>
      </c>
      <c r="F589" t="str">
        <f>VLOOKUP(E589,Tabela2[#All],2,FALSE)</f>
        <v>FLANGE DE BOMBA</v>
      </c>
      <c r="G589" t="s">
        <v>1723</v>
      </c>
      <c r="H589" s="1">
        <v>6.9</v>
      </c>
      <c r="I589" s="1">
        <v>6.9</v>
      </c>
      <c r="J589" t="s">
        <v>46</v>
      </c>
      <c r="K589" s="1">
        <v>64.017857000000006</v>
      </c>
      <c r="L589" s="1">
        <v>2</v>
      </c>
      <c r="M589" s="1">
        <v>22.4</v>
      </c>
      <c r="N589" s="1">
        <v>33009</v>
      </c>
      <c r="O589" t="s">
        <v>74</v>
      </c>
      <c r="P589" t="s">
        <v>113</v>
      </c>
      <c r="Q589" t="s">
        <v>68</v>
      </c>
      <c r="R589" t="s">
        <v>50</v>
      </c>
      <c r="S589" t="s">
        <v>50</v>
      </c>
      <c r="T589" s="1">
        <v>63.191544700000001</v>
      </c>
      <c r="U589" s="1">
        <v>48.831288409999999</v>
      </c>
      <c r="V589" s="1">
        <v>0</v>
      </c>
      <c r="W589" s="1">
        <v>0</v>
      </c>
      <c r="X589" t="s">
        <v>50</v>
      </c>
      <c r="Y589" s="1">
        <v>0.1293</v>
      </c>
      <c r="Z589" t="s">
        <v>50</v>
      </c>
      <c r="AA589" t="s">
        <v>50</v>
      </c>
      <c r="AB589" t="s">
        <v>50</v>
      </c>
      <c r="AC589" t="s">
        <v>50</v>
      </c>
      <c r="AD589" s="1">
        <v>6</v>
      </c>
      <c r="AE589" t="s">
        <v>50</v>
      </c>
      <c r="AF589" s="1">
        <v>0.45</v>
      </c>
      <c r="AG589" t="s">
        <v>50</v>
      </c>
      <c r="AH589" t="s">
        <v>50</v>
      </c>
      <c r="AI589" t="s">
        <v>50</v>
      </c>
      <c r="AJ589" t="s">
        <v>50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t="s">
        <v>1721</v>
      </c>
      <c r="AQ589" s="1">
        <v>4868</v>
      </c>
      <c r="AR589" t="s">
        <v>51</v>
      </c>
    </row>
    <row r="590" spans="1:44">
      <c r="A590" s="1">
        <v>64117</v>
      </c>
      <c r="B590" s="1">
        <v>64124</v>
      </c>
      <c r="C590" s="1">
        <v>58090</v>
      </c>
      <c r="D590" t="s">
        <v>1724</v>
      </c>
      <c r="E590" t="s">
        <v>1725</v>
      </c>
      <c r="F590" t="str">
        <f>VLOOKUP(E590,Tabela2[#All],2,FALSE)</f>
        <v>CORPO DE BOMBA</v>
      </c>
      <c r="G590" t="s">
        <v>1726</v>
      </c>
      <c r="H590" s="1">
        <v>4.5</v>
      </c>
      <c r="I590" s="1">
        <v>4.5</v>
      </c>
      <c r="J590" t="s">
        <v>46</v>
      </c>
      <c r="K590" s="1">
        <v>55.990220000000001</v>
      </c>
      <c r="L590" s="1">
        <v>2</v>
      </c>
      <c r="M590" s="1">
        <v>16.36</v>
      </c>
      <c r="N590" s="1">
        <v>33009</v>
      </c>
      <c r="O590" t="s">
        <v>74</v>
      </c>
      <c r="P590" t="s">
        <v>113</v>
      </c>
      <c r="Q590" t="s">
        <v>68</v>
      </c>
      <c r="R590" t="s">
        <v>50</v>
      </c>
      <c r="S590" t="s">
        <v>50</v>
      </c>
      <c r="T590" s="1">
        <v>33.587791340000003</v>
      </c>
      <c r="U590" s="1">
        <v>32.787390860000002</v>
      </c>
      <c r="V590" s="1">
        <v>0</v>
      </c>
      <c r="W590" s="1">
        <v>0</v>
      </c>
      <c r="X590" t="s">
        <v>50</v>
      </c>
      <c r="Y590" s="1">
        <v>4.4999999999999998E-2</v>
      </c>
      <c r="Z590" t="s">
        <v>50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s="1">
        <v>0.45</v>
      </c>
      <c r="AG590" t="s">
        <v>50</v>
      </c>
      <c r="AH590" t="s">
        <v>50</v>
      </c>
      <c r="AI590" t="s">
        <v>50</v>
      </c>
      <c r="AJ590" t="s">
        <v>50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t="s">
        <v>1724</v>
      </c>
      <c r="AQ590" s="1">
        <v>4867</v>
      </c>
      <c r="AR590" t="s">
        <v>51</v>
      </c>
    </row>
    <row r="591" spans="1:44">
      <c r="A591" s="1">
        <v>61877</v>
      </c>
      <c r="B591" s="1">
        <v>53664</v>
      </c>
      <c r="C591" s="1">
        <v>48030</v>
      </c>
      <c r="D591" t="s">
        <v>1727</v>
      </c>
      <c r="E591" t="s">
        <v>1728</v>
      </c>
      <c r="F591" t="str">
        <f>VLOOKUP(E591,Tabela2[#All],2,FALSE)</f>
        <v>BRACKET</v>
      </c>
      <c r="G591" t="s">
        <v>1729</v>
      </c>
      <c r="H591" s="1">
        <v>3.53</v>
      </c>
      <c r="I591" s="1">
        <v>3.53</v>
      </c>
      <c r="J591" t="s">
        <v>46</v>
      </c>
      <c r="K591" s="1">
        <v>56.760773</v>
      </c>
      <c r="L591" s="1">
        <v>2</v>
      </c>
      <c r="M591" s="1">
        <v>13.46</v>
      </c>
      <c r="N591" s="1">
        <v>33012</v>
      </c>
      <c r="O591" t="s">
        <v>1075</v>
      </c>
      <c r="P591" t="s">
        <v>1681</v>
      </c>
      <c r="Q591" t="s">
        <v>1424</v>
      </c>
      <c r="R591" t="s">
        <v>50</v>
      </c>
      <c r="S591" t="s">
        <v>50</v>
      </c>
      <c r="T591" s="1">
        <v>49.14104811</v>
      </c>
      <c r="U591" s="1">
        <v>25.506379500000001</v>
      </c>
      <c r="V591" s="1">
        <v>0</v>
      </c>
      <c r="W591" s="1">
        <v>0</v>
      </c>
      <c r="X591" t="s">
        <v>50</v>
      </c>
      <c r="Y591" s="1">
        <v>4.9000000000000002E-2</v>
      </c>
      <c r="Z591" t="s">
        <v>50</v>
      </c>
      <c r="AA591" t="s">
        <v>50</v>
      </c>
      <c r="AB591" s="1">
        <v>3.8666</v>
      </c>
      <c r="AC591" t="s">
        <v>50</v>
      </c>
      <c r="AD591" t="s">
        <v>50</v>
      </c>
      <c r="AE591" s="1">
        <v>2.25</v>
      </c>
      <c r="AF591" s="1">
        <v>0.375</v>
      </c>
      <c r="AG591" t="s">
        <v>50</v>
      </c>
      <c r="AH591" t="s">
        <v>50</v>
      </c>
      <c r="AI591" t="s">
        <v>50</v>
      </c>
      <c r="AJ591" t="s">
        <v>50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t="s">
        <v>1730</v>
      </c>
      <c r="AQ591" s="1">
        <v>5508</v>
      </c>
      <c r="AR591" t="s">
        <v>51</v>
      </c>
    </row>
    <row r="592" spans="1:44">
      <c r="A592" s="1">
        <v>66861</v>
      </c>
      <c r="B592" s="1">
        <v>66862</v>
      </c>
      <c r="C592" s="1">
        <v>60812</v>
      </c>
      <c r="D592" t="s">
        <v>1731</v>
      </c>
      <c r="E592" t="s">
        <v>1732</v>
      </c>
      <c r="F592" t="str">
        <f>VLOOKUP(E592,Tabela2[#All],2,FALSE)</f>
        <v>BRACKET</v>
      </c>
      <c r="G592" t="s">
        <v>1733</v>
      </c>
      <c r="H592" s="1">
        <v>2.6</v>
      </c>
      <c r="I592" s="1">
        <v>2.6</v>
      </c>
      <c r="J592" t="s">
        <v>46</v>
      </c>
      <c r="K592" s="1">
        <v>51.362558999999997</v>
      </c>
      <c r="L592" s="1">
        <v>3</v>
      </c>
      <c r="M592" s="1">
        <v>16.88</v>
      </c>
      <c r="N592" s="1">
        <v>45295</v>
      </c>
      <c r="O592" t="s">
        <v>58</v>
      </c>
      <c r="P592" t="s">
        <v>1681</v>
      </c>
      <c r="Q592" t="s">
        <v>1424</v>
      </c>
      <c r="R592" t="s">
        <v>50</v>
      </c>
      <c r="S592" t="s">
        <v>50</v>
      </c>
      <c r="T592" s="1">
        <v>43.564338100000001</v>
      </c>
      <c r="U592" s="1">
        <v>21.543007079999999</v>
      </c>
      <c r="V592" s="1">
        <v>10.527466666666667</v>
      </c>
      <c r="W592" s="1">
        <v>0</v>
      </c>
      <c r="X592" t="s">
        <v>50</v>
      </c>
      <c r="Y592" s="1">
        <v>4.5999999999999999E-2</v>
      </c>
      <c r="Z592" t="s">
        <v>50</v>
      </c>
      <c r="AA592" t="s">
        <v>50</v>
      </c>
      <c r="AB592" s="1">
        <v>4</v>
      </c>
      <c r="AC592" t="s">
        <v>50</v>
      </c>
      <c r="AD592" t="s">
        <v>50</v>
      </c>
      <c r="AE592" s="1">
        <v>0.92</v>
      </c>
      <c r="AF592" s="1">
        <v>0.24990000000000001</v>
      </c>
      <c r="AG592" t="s">
        <v>50</v>
      </c>
      <c r="AH592" t="s">
        <v>50</v>
      </c>
      <c r="AI592" t="s">
        <v>50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1732</v>
      </c>
      <c r="AQ592" s="1">
        <v>5548</v>
      </c>
      <c r="AR592" t="s">
        <v>51</v>
      </c>
    </row>
    <row r="593" spans="1:44">
      <c r="A593" s="1">
        <v>112969</v>
      </c>
      <c r="B593" s="1">
        <v>112968</v>
      </c>
      <c r="C593" s="1">
        <v>95490</v>
      </c>
      <c r="D593" t="s">
        <v>1734</v>
      </c>
      <c r="E593" t="s">
        <v>1735</v>
      </c>
      <c r="F593" t="str">
        <f>VLOOKUP(E593,Tabela2[#All],2,FALSE)</f>
        <v>BASE</v>
      </c>
      <c r="G593" t="s">
        <v>1736</v>
      </c>
      <c r="H593" s="1">
        <v>6.2149999999999999</v>
      </c>
      <c r="I593" s="1">
        <v>6.2149999999999999</v>
      </c>
      <c r="J593" t="s">
        <v>46</v>
      </c>
      <c r="K593" s="1">
        <v>55.936920000000001</v>
      </c>
      <c r="L593" s="1">
        <v>1</v>
      </c>
      <c r="M593" s="1">
        <v>10.78</v>
      </c>
      <c r="N593" s="1">
        <v>32901</v>
      </c>
      <c r="O593" t="s">
        <v>534</v>
      </c>
      <c r="P593" t="s">
        <v>1262</v>
      </c>
      <c r="Q593" t="s">
        <v>350</v>
      </c>
      <c r="R593" t="s">
        <v>50</v>
      </c>
      <c r="S593" t="s">
        <v>50</v>
      </c>
      <c r="T593" s="1">
        <v>42.295863339999997</v>
      </c>
      <c r="U593" s="1">
        <v>40.337343480000001</v>
      </c>
      <c r="V593" s="1">
        <v>16.367000000000001</v>
      </c>
      <c r="W593" s="1">
        <v>0</v>
      </c>
      <c r="X593" t="s">
        <v>50</v>
      </c>
      <c r="Y593" s="1">
        <v>0.1875</v>
      </c>
      <c r="Z593" t="s">
        <v>50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s="1">
        <v>0.81810000000000005</v>
      </c>
      <c r="AG593" t="s">
        <v>50</v>
      </c>
      <c r="AH593" t="s">
        <v>50</v>
      </c>
      <c r="AI593" t="s">
        <v>50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t="s">
        <v>1737</v>
      </c>
      <c r="AQ593" s="1">
        <v>11989</v>
      </c>
      <c r="AR593" t="s">
        <v>51</v>
      </c>
    </row>
    <row r="594" spans="1:44">
      <c r="A594" s="1">
        <v>109941</v>
      </c>
      <c r="B594" s="1">
        <v>109942</v>
      </c>
      <c r="C594" s="1">
        <v>92592</v>
      </c>
      <c r="D594" t="s">
        <v>1738</v>
      </c>
      <c r="E594" t="s">
        <v>1739</v>
      </c>
      <c r="F594" t="str">
        <f>VLOOKUP(E594,Tabela2[#All],2,FALSE)</f>
        <v>Válvula Nível 2</v>
      </c>
      <c r="G594" t="s">
        <v>1740</v>
      </c>
      <c r="H594" s="1">
        <v>4.8099999999999996</v>
      </c>
      <c r="I594" s="1">
        <v>4.8099999999999996</v>
      </c>
      <c r="J594" t="s">
        <v>65</v>
      </c>
      <c r="K594" s="1">
        <v>75.000974999999997</v>
      </c>
      <c r="L594" s="1">
        <v>4</v>
      </c>
      <c r="M594" s="1">
        <v>25.652999999999999</v>
      </c>
      <c r="N594" s="1">
        <v>36441</v>
      </c>
      <c r="O594" t="s">
        <v>66</v>
      </c>
      <c r="P594" t="s">
        <v>113</v>
      </c>
      <c r="Q594" t="s">
        <v>68</v>
      </c>
      <c r="R594" t="s">
        <v>50</v>
      </c>
      <c r="S594" t="s">
        <v>50</v>
      </c>
      <c r="T594" s="1">
        <v>50.76079395</v>
      </c>
      <c r="U594" s="1">
        <v>50.76079395</v>
      </c>
      <c r="V594" s="1">
        <v>0</v>
      </c>
      <c r="W594" s="1">
        <v>0</v>
      </c>
      <c r="X594" t="s">
        <v>50</v>
      </c>
      <c r="Y594" t="s">
        <v>50</v>
      </c>
      <c r="Z594" t="s">
        <v>50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50</v>
      </c>
      <c r="AG594" s="1">
        <v>0.33300000000000002</v>
      </c>
      <c r="AH594" s="1">
        <v>1.35</v>
      </c>
      <c r="AI594" s="1">
        <v>0.192</v>
      </c>
      <c r="AJ594" t="s">
        <v>50</v>
      </c>
      <c r="AK594" t="s">
        <v>50</v>
      </c>
      <c r="AL594" t="s">
        <v>50</v>
      </c>
      <c r="AM594" t="s">
        <v>50</v>
      </c>
      <c r="AN594" s="1">
        <v>4.0999999999999996</v>
      </c>
      <c r="AO594" t="s">
        <v>50</v>
      </c>
      <c r="AP594" t="s">
        <v>1741</v>
      </c>
      <c r="AQ594" s="1">
        <v>11367</v>
      </c>
      <c r="AR594" t="s">
        <v>191</v>
      </c>
    </row>
    <row r="595" spans="1:44">
      <c r="A595" s="1">
        <v>61878</v>
      </c>
      <c r="B595" s="1">
        <v>61958</v>
      </c>
      <c r="C595" s="1">
        <v>56050</v>
      </c>
      <c r="D595" t="s">
        <v>1742</v>
      </c>
      <c r="E595" t="s">
        <v>1743</v>
      </c>
      <c r="F595" t="str">
        <f>VLOOKUP(E595,Tabela2[#All],2,FALSE)</f>
        <v>Válvula Nível 6</v>
      </c>
      <c r="G595" t="s">
        <v>1744</v>
      </c>
      <c r="H595" s="1">
        <v>0.64</v>
      </c>
      <c r="I595" s="1">
        <v>0.64</v>
      </c>
      <c r="J595" t="s">
        <v>65</v>
      </c>
      <c r="K595" s="1">
        <v>66.183575000000005</v>
      </c>
      <c r="L595" s="1">
        <v>6.85</v>
      </c>
      <c r="M595" s="1">
        <v>8.2799999999999994</v>
      </c>
      <c r="N595" s="1">
        <v>36441</v>
      </c>
      <c r="O595" t="s">
        <v>66</v>
      </c>
      <c r="P595" t="s">
        <v>1681</v>
      </c>
      <c r="Q595" t="s">
        <v>1424</v>
      </c>
      <c r="R595" t="s">
        <v>50</v>
      </c>
      <c r="S595" t="s">
        <v>50</v>
      </c>
      <c r="T595" s="1">
        <v>13.9008041</v>
      </c>
      <c r="U595" s="1">
        <v>8.0680565099999999</v>
      </c>
      <c r="V595" s="1">
        <v>0</v>
      </c>
      <c r="W595" s="1">
        <v>0</v>
      </c>
      <c r="X595" t="s">
        <v>50</v>
      </c>
      <c r="Y595" t="s">
        <v>50</v>
      </c>
      <c r="Z595" t="s">
        <v>50</v>
      </c>
      <c r="AA595" t="s">
        <v>50</v>
      </c>
      <c r="AB595" s="1">
        <v>1.7142999999999999</v>
      </c>
      <c r="AC595" t="s">
        <v>50</v>
      </c>
      <c r="AD595" t="s">
        <v>50</v>
      </c>
      <c r="AE595" s="1">
        <v>0.6</v>
      </c>
      <c r="AF595" t="s">
        <v>50</v>
      </c>
      <c r="AG595" s="1">
        <v>0.104</v>
      </c>
      <c r="AH595" s="1">
        <v>0.75</v>
      </c>
      <c r="AI595" t="s">
        <v>50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1745</v>
      </c>
      <c r="AQ595" s="1">
        <v>6209</v>
      </c>
      <c r="AR595" t="s">
        <v>70</v>
      </c>
    </row>
    <row r="596" spans="1:44">
      <c r="A596" s="1">
        <v>117633</v>
      </c>
      <c r="B596" s="1">
        <v>117632</v>
      </c>
      <c r="C596" s="1">
        <v>100013</v>
      </c>
      <c r="D596" t="s">
        <v>1746</v>
      </c>
      <c r="E596" t="s">
        <v>1747</v>
      </c>
      <c r="F596" t="str">
        <f>VLOOKUP(E596,Tabela2[#All],2,FALSE)</f>
        <v>BRACKET</v>
      </c>
      <c r="G596" t="s">
        <v>1748</v>
      </c>
      <c r="H596" s="1">
        <v>1.1200000000000001</v>
      </c>
      <c r="I596" s="1">
        <v>1.1200000000000001</v>
      </c>
      <c r="J596" t="s">
        <v>46</v>
      </c>
      <c r="K596" s="1">
        <v>44.822257</v>
      </c>
      <c r="L596" s="1">
        <v>5</v>
      </c>
      <c r="M596" s="1">
        <v>12.94</v>
      </c>
      <c r="N596" s="1">
        <v>32991</v>
      </c>
      <c r="O596" t="s">
        <v>1672</v>
      </c>
      <c r="P596" t="s">
        <v>1681</v>
      </c>
      <c r="Q596" t="s">
        <v>1424</v>
      </c>
      <c r="R596" t="s">
        <v>50</v>
      </c>
      <c r="S596" t="s">
        <v>50</v>
      </c>
      <c r="T596" s="1">
        <v>25.201022080000001</v>
      </c>
      <c r="U596" s="1">
        <v>9.1716420599999999</v>
      </c>
      <c r="V596" s="1">
        <v>3.1421399999999999</v>
      </c>
      <c r="W596" s="1">
        <v>0</v>
      </c>
      <c r="X596" t="s">
        <v>50</v>
      </c>
      <c r="Y596" s="1">
        <v>0.09</v>
      </c>
      <c r="Z596" t="s">
        <v>50</v>
      </c>
      <c r="AA596" t="s">
        <v>50</v>
      </c>
      <c r="AB596" s="1">
        <v>3.5</v>
      </c>
      <c r="AC596" t="s">
        <v>50</v>
      </c>
      <c r="AD596" t="s">
        <v>50</v>
      </c>
      <c r="AE596" s="1">
        <v>3.1</v>
      </c>
      <c r="AF596" s="1">
        <v>0.15</v>
      </c>
      <c r="AG596" t="s">
        <v>50</v>
      </c>
      <c r="AH596" t="s">
        <v>50</v>
      </c>
      <c r="AI596" t="s">
        <v>50</v>
      </c>
      <c r="AJ596" t="s">
        <v>50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t="s">
        <v>1749</v>
      </c>
      <c r="AQ596" s="1">
        <v>13368</v>
      </c>
      <c r="AR596" t="s">
        <v>51</v>
      </c>
    </row>
    <row r="597" spans="1:44">
      <c r="A597" s="1">
        <v>66839</v>
      </c>
      <c r="B597" s="1">
        <v>66841</v>
      </c>
      <c r="C597" s="1">
        <v>60791</v>
      </c>
      <c r="D597" t="s">
        <v>1750</v>
      </c>
      <c r="E597" t="s">
        <v>1751</v>
      </c>
      <c r="F597" t="str">
        <f>VLOOKUP(E597,Tabela2[#All],2,FALSE)</f>
        <v>BRACKET</v>
      </c>
      <c r="G597" t="s">
        <v>1752</v>
      </c>
      <c r="H597" s="1">
        <v>3.44</v>
      </c>
      <c r="I597" s="1">
        <v>3.44</v>
      </c>
      <c r="J597" t="s">
        <v>46</v>
      </c>
      <c r="K597" s="1">
        <v>50.980392000000002</v>
      </c>
      <c r="L597" s="1">
        <v>2</v>
      </c>
      <c r="M597" s="1">
        <v>13.26</v>
      </c>
      <c r="N597" s="1">
        <v>45295</v>
      </c>
      <c r="O597" t="s">
        <v>58</v>
      </c>
      <c r="P597" t="s">
        <v>1681</v>
      </c>
      <c r="Q597" t="s">
        <v>1424</v>
      </c>
      <c r="R597" t="s">
        <v>50</v>
      </c>
      <c r="S597" t="s">
        <v>50</v>
      </c>
      <c r="T597" s="1">
        <v>48.12524724</v>
      </c>
      <c r="U597" s="1">
        <v>25.67017822</v>
      </c>
      <c r="V597" s="1">
        <v>0</v>
      </c>
      <c r="W597" s="1">
        <v>0</v>
      </c>
      <c r="X597" t="s">
        <v>50</v>
      </c>
      <c r="Y597" s="1">
        <v>7.1800000000000003E-2</v>
      </c>
      <c r="Z597" t="s">
        <v>50</v>
      </c>
      <c r="AA597" t="s">
        <v>50</v>
      </c>
      <c r="AB597" s="1">
        <v>3.96</v>
      </c>
      <c r="AC597" t="s">
        <v>50</v>
      </c>
      <c r="AD597" t="s">
        <v>50</v>
      </c>
      <c r="AE597" s="1">
        <v>0.92</v>
      </c>
      <c r="AF597" s="1">
        <v>0.375</v>
      </c>
      <c r="AG597" t="s">
        <v>50</v>
      </c>
      <c r="AH597" t="s">
        <v>50</v>
      </c>
      <c r="AI597" t="s">
        <v>50</v>
      </c>
      <c r="AJ597" t="s">
        <v>50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t="s">
        <v>1751</v>
      </c>
      <c r="AQ597" s="1">
        <v>5547</v>
      </c>
      <c r="AR597" t="s">
        <v>51</v>
      </c>
    </row>
    <row r="598" spans="1:44">
      <c r="A598" s="1">
        <v>61880</v>
      </c>
      <c r="B598" s="1">
        <v>61903</v>
      </c>
      <c r="C598" s="1">
        <v>55974</v>
      </c>
      <c r="D598" t="s">
        <v>1753</v>
      </c>
      <c r="E598" t="s">
        <v>1754</v>
      </c>
      <c r="F598" t="str">
        <f>VLOOKUP(E598,Tabela2[#All],2,FALSE)</f>
        <v>BRACKET</v>
      </c>
      <c r="G598" t="s">
        <v>1755</v>
      </c>
      <c r="H598" s="1">
        <v>7.22</v>
      </c>
      <c r="I598" s="1">
        <v>7.22</v>
      </c>
      <c r="J598" t="s">
        <v>46</v>
      </c>
      <c r="K598" s="1">
        <v>52.341434</v>
      </c>
      <c r="L598" s="1">
        <v>1</v>
      </c>
      <c r="M598" s="1">
        <v>16.87</v>
      </c>
      <c r="N598" s="1">
        <v>64899</v>
      </c>
      <c r="O598" t="s">
        <v>106</v>
      </c>
      <c r="P598" t="s">
        <v>1681</v>
      </c>
      <c r="Q598" t="s">
        <v>1424</v>
      </c>
      <c r="R598" t="s">
        <v>50</v>
      </c>
      <c r="S598" t="s">
        <v>50</v>
      </c>
      <c r="T598" s="1">
        <v>96.537907809999993</v>
      </c>
      <c r="U598" s="1">
        <v>58.415219630000003</v>
      </c>
      <c r="V598" s="1">
        <v>0</v>
      </c>
      <c r="W598" s="1">
        <v>0</v>
      </c>
      <c r="X598" t="s">
        <v>50</v>
      </c>
      <c r="Y598" s="1">
        <v>0.17</v>
      </c>
      <c r="Z598" t="s">
        <v>50</v>
      </c>
      <c r="AA598" t="s">
        <v>50</v>
      </c>
      <c r="AB598" s="1">
        <v>8.7165999999999997</v>
      </c>
      <c r="AC598" t="s">
        <v>50</v>
      </c>
      <c r="AD598" t="s">
        <v>50</v>
      </c>
      <c r="AE598" s="1">
        <v>2.1</v>
      </c>
      <c r="AF598" s="1">
        <v>0.75</v>
      </c>
      <c r="AG598" t="s">
        <v>50</v>
      </c>
      <c r="AH598" t="s">
        <v>50</v>
      </c>
      <c r="AI598" t="s">
        <v>50</v>
      </c>
      <c r="AJ598" t="s">
        <v>50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t="s">
        <v>1753</v>
      </c>
      <c r="AQ598" s="1">
        <v>5887</v>
      </c>
      <c r="AR598" t="s">
        <v>51</v>
      </c>
    </row>
    <row r="599" spans="1:44">
      <c r="A599" s="1">
        <v>54396</v>
      </c>
      <c r="B599" s="1">
        <v>54476</v>
      </c>
      <c r="C599" s="1">
        <v>48706</v>
      </c>
      <c r="D599" t="s">
        <v>1756</v>
      </c>
      <c r="E599" t="s">
        <v>1757</v>
      </c>
      <c r="F599" t="str">
        <f>VLOOKUP(E599,Tabela2[#All],2,FALSE)</f>
        <v>POLIA</v>
      </c>
      <c r="G599" t="s">
        <v>1758</v>
      </c>
      <c r="H599" s="1">
        <v>8.83</v>
      </c>
      <c r="I599" s="1">
        <v>8.83</v>
      </c>
      <c r="J599" t="s">
        <v>46</v>
      </c>
      <c r="K599" s="1">
        <v>78.787879000000004</v>
      </c>
      <c r="L599" s="1">
        <v>1</v>
      </c>
      <c r="M599" s="1">
        <v>11.22</v>
      </c>
      <c r="N599" s="1">
        <v>33009</v>
      </c>
      <c r="O599" t="s">
        <v>74</v>
      </c>
      <c r="P599" t="s">
        <v>59</v>
      </c>
      <c r="Q599" t="s">
        <v>60</v>
      </c>
      <c r="R599" t="s">
        <v>50</v>
      </c>
      <c r="S599" t="s">
        <v>50</v>
      </c>
      <c r="T599" s="1">
        <v>62.834946770000002</v>
      </c>
      <c r="U599" s="1">
        <v>57.281065179999999</v>
      </c>
      <c r="V599" s="1">
        <v>0</v>
      </c>
      <c r="W599" s="1">
        <v>0</v>
      </c>
      <c r="X599" t="s">
        <v>50</v>
      </c>
      <c r="Y599" s="1">
        <v>0.31</v>
      </c>
      <c r="Z599" t="s">
        <v>50</v>
      </c>
      <c r="AA599" t="s">
        <v>50</v>
      </c>
      <c r="AB599" t="s">
        <v>50</v>
      </c>
      <c r="AC599" t="s">
        <v>50</v>
      </c>
      <c r="AD599" t="s">
        <v>50</v>
      </c>
      <c r="AE599" s="1">
        <v>1</v>
      </c>
      <c r="AF599" s="1">
        <v>0.79800000000000004</v>
      </c>
      <c r="AG599" t="s">
        <v>50</v>
      </c>
      <c r="AH599" t="s">
        <v>50</v>
      </c>
      <c r="AI599" t="s">
        <v>50</v>
      </c>
      <c r="AJ599" t="s">
        <v>50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t="s">
        <v>1757</v>
      </c>
      <c r="AQ599" s="1">
        <v>3540</v>
      </c>
      <c r="AR599" t="s">
        <v>51</v>
      </c>
    </row>
    <row r="600" spans="1:44">
      <c r="A600" s="1">
        <v>61882</v>
      </c>
      <c r="B600" s="1">
        <v>53657</v>
      </c>
      <c r="C600" s="1">
        <v>48023</v>
      </c>
      <c r="D600" t="s">
        <v>1759</v>
      </c>
      <c r="E600" t="s">
        <v>1760</v>
      </c>
      <c r="F600" t="str">
        <f>VLOOKUP(E600,Tabela2[#All],2,FALSE)</f>
        <v>BRACKET</v>
      </c>
      <c r="G600" t="s">
        <v>1761</v>
      </c>
      <c r="H600" s="1">
        <v>7.95</v>
      </c>
      <c r="I600" s="1">
        <v>7.95</v>
      </c>
      <c r="J600" t="s">
        <v>46</v>
      </c>
      <c r="K600" s="1">
        <v>55.471698000000004</v>
      </c>
      <c r="L600" s="1">
        <v>1</v>
      </c>
      <c r="M600" s="1">
        <v>15.9</v>
      </c>
      <c r="N600" s="1">
        <v>33012</v>
      </c>
      <c r="O600" t="s">
        <v>1075</v>
      </c>
      <c r="P600" t="s">
        <v>1681</v>
      </c>
      <c r="Q600" t="s">
        <v>1424</v>
      </c>
      <c r="R600" t="s">
        <v>50</v>
      </c>
      <c r="S600" t="s">
        <v>50</v>
      </c>
      <c r="T600" s="1">
        <v>118.88092378</v>
      </c>
      <c r="U600" s="1">
        <v>59.268869000000002</v>
      </c>
      <c r="V600" s="1">
        <v>0</v>
      </c>
      <c r="W600" s="1">
        <v>0</v>
      </c>
      <c r="X600" t="s">
        <v>50</v>
      </c>
      <c r="Y600" s="1">
        <v>0.15</v>
      </c>
      <c r="Z600" t="s">
        <v>50</v>
      </c>
      <c r="AA600" t="s">
        <v>50</v>
      </c>
      <c r="AB600" s="1">
        <v>12.66</v>
      </c>
      <c r="AC600" t="s">
        <v>50</v>
      </c>
      <c r="AD600" t="s">
        <v>50</v>
      </c>
      <c r="AE600" s="1">
        <v>4.4000000000000004</v>
      </c>
      <c r="AF600" s="1">
        <v>0.75</v>
      </c>
      <c r="AG600" t="s">
        <v>50</v>
      </c>
      <c r="AH600" t="s">
        <v>50</v>
      </c>
      <c r="AI600" t="s">
        <v>50</v>
      </c>
      <c r="AJ600" t="s">
        <v>50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t="s">
        <v>1762</v>
      </c>
      <c r="AQ600" s="1">
        <v>5507</v>
      </c>
      <c r="AR600" t="s">
        <v>51</v>
      </c>
    </row>
    <row r="601" spans="1:44">
      <c r="A601" s="1">
        <v>110659</v>
      </c>
      <c r="B601" s="1">
        <v>92349</v>
      </c>
      <c r="C601" s="1">
        <v>84146</v>
      </c>
      <c r="D601" t="s">
        <v>1763</v>
      </c>
      <c r="E601" t="s">
        <v>1764</v>
      </c>
      <c r="F601" t="str">
        <f>VLOOKUP(E601,Tabela2[#All],2,FALSE)</f>
        <v>SEM FAMÍLIA</v>
      </c>
      <c r="G601" t="s">
        <v>1765</v>
      </c>
      <c r="H601" s="1">
        <v>0.6</v>
      </c>
      <c r="I601" s="1">
        <v>0.6</v>
      </c>
      <c r="J601" t="s">
        <v>46</v>
      </c>
      <c r="K601" s="1">
        <v>69.278351000000001</v>
      </c>
      <c r="L601" s="1">
        <v>12</v>
      </c>
      <c r="M601" s="1">
        <v>14.55</v>
      </c>
      <c r="N601" s="1">
        <v>32963</v>
      </c>
      <c r="O601" t="s">
        <v>436</v>
      </c>
      <c r="P601" t="s">
        <v>1663</v>
      </c>
      <c r="Q601" t="s">
        <v>49</v>
      </c>
      <c r="R601" t="s">
        <v>50</v>
      </c>
      <c r="S601" t="s">
        <v>50</v>
      </c>
      <c r="T601" s="1">
        <v>6.5008140000000001</v>
      </c>
      <c r="U601" s="1">
        <v>6.3886404900000002</v>
      </c>
      <c r="V601" s="1">
        <v>0</v>
      </c>
      <c r="W601" s="1">
        <v>0</v>
      </c>
      <c r="X601" t="s">
        <v>50</v>
      </c>
      <c r="Y601" s="1">
        <v>6.6000000000000003E-2</v>
      </c>
      <c r="Z601" t="s">
        <v>50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s="1">
        <v>0.1023</v>
      </c>
      <c r="AG601" t="s">
        <v>50</v>
      </c>
      <c r="AH601" t="s">
        <v>50</v>
      </c>
      <c r="AI601" t="s">
        <v>50</v>
      </c>
      <c r="AJ601" t="s">
        <v>50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t="s">
        <v>1766</v>
      </c>
      <c r="AQ601" s="1">
        <v>9287</v>
      </c>
      <c r="AR601" t="s">
        <v>51</v>
      </c>
    </row>
    <row r="602" spans="1:44">
      <c r="A602" s="1">
        <v>93768</v>
      </c>
      <c r="B602" s="1">
        <v>92349</v>
      </c>
      <c r="C602" s="1">
        <v>84146</v>
      </c>
      <c r="D602" t="s">
        <v>1767</v>
      </c>
      <c r="E602" t="s">
        <v>1764</v>
      </c>
      <c r="F602" t="str">
        <f>VLOOKUP(E602,Tabela2[#All],2,FALSE)</f>
        <v>SEM FAMÍLIA</v>
      </c>
      <c r="G602" t="s">
        <v>1765</v>
      </c>
      <c r="H602" s="1">
        <v>0.6</v>
      </c>
      <c r="I602" s="1">
        <v>0.6</v>
      </c>
      <c r="J602" t="s">
        <v>46</v>
      </c>
      <c r="K602" s="1">
        <v>69.278351000000001</v>
      </c>
      <c r="L602" s="1">
        <v>12</v>
      </c>
      <c r="M602" s="1">
        <v>14.55</v>
      </c>
      <c r="N602" s="1">
        <v>32963</v>
      </c>
      <c r="O602" t="s">
        <v>436</v>
      </c>
      <c r="P602" t="s">
        <v>1663</v>
      </c>
      <c r="Q602" t="s">
        <v>49</v>
      </c>
      <c r="R602" t="s">
        <v>50</v>
      </c>
      <c r="S602" t="s">
        <v>50</v>
      </c>
      <c r="T602" s="1">
        <v>19.17503842</v>
      </c>
      <c r="U602" s="1">
        <v>6.3886404900000002</v>
      </c>
      <c r="V602" s="1">
        <v>0</v>
      </c>
      <c r="W602" s="1">
        <v>0.71096400000000004</v>
      </c>
      <c r="X602" t="s">
        <v>50</v>
      </c>
      <c r="Y602" s="1">
        <v>0.10199999999999999</v>
      </c>
      <c r="Z602" t="s">
        <v>50</v>
      </c>
      <c r="AA602" s="1">
        <v>0.92300000000000004</v>
      </c>
      <c r="AB602" s="1">
        <v>2.0335999999999999</v>
      </c>
      <c r="AC602" s="1">
        <v>0.43609999999999999</v>
      </c>
      <c r="AD602" t="s">
        <v>50</v>
      </c>
      <c r="AE602" s="1">
        <v>0.35</v>
      </c>
      <c r="AF602" s="1">
        <v>0.1023</v>
      </c>
      <c r="AG602" t="s">
        <v>50</v>
      </c>
      <c r="AH602" t="s">
        <v>50</v>
      </c>
      <c r="AI602" t="s">
        <v>50</v>
      </c>
      <c r="AJ602" t="s">
        <v>50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t="s">
        <v>1766</v>
      </c>
      <c r="AQ602" s="1">
        <v>9287</v>
      </c>
      <c r="AR602" t="s">
        <v>51</v>
      </c>
    </row>
    <row r="603" spans="1:44">
      <c r="A603" s="1">
        <v>92350</v>
      </c>
      <c r="B603" s="1">
        <v>92349</v>
      </c>
      <c r="C603" s="1">
        <v>84146</v>
      </c>
      <c r="D603" t="s">
        <v>1768</v>
      </c>
      <c r="E603" t="s">
        <v>1764</v>
      </c>
      <c r="F603" t="str">
        <f>VLOOKUP(E603,Tabela2[#All],2,FALSE)</f>
        <v>SEM FAMÍLIA</v>
      </c>
      <c r="G603" t="s">
        <v>1765</v>
      </c>
      <c r="H603" s="1">
        <v>0.6</v>
      </c>
      <c r="I603" s="1">
        <v>0.6</v>
      </c>
      <c r="J603" t="s">
        <v>46</v>
      </c>
      <c r="K603" s="1">
        <v>69.278351000000001</v>
      </c>
      <c r="L603" s="1">
        <v>12</v>
      </c>
      <c r="M603" s="1">
        <v>14.55</v>
      </c>
      <c r="N603" s="1">
        <v>32963</v>
      </c>
      <c r="O603" t="s">
        <v>436</v>
      </c>
      <c r="P603" t="s">
        <v>1663</v>
      </c>
      <c r="Q603" t="s">
        <v>49</v>
      </c>
      <c r="R603" t="s">
        <v>50</v>
      </c>
      <c r="S603" t="s">
        <v>50</v>
      </c>
      <c r="T603" s="1">
        <v>19.985445500000001</v>
      </c>
      <c r="U603" s="1">
        <v>6.3886404900000002</v>
      </c>
      <c r="V603" s="1">
        <v>0</v>
      </c>
      <c r="W603" s="1">
        <v>0.71096400000000004</v>
      </c>
      <c r="X603" t="s">
        <v>50</v>
      </c>
      <c r="Y603" s="1">
        <v>0.10199999999999999</v>
      </c>
      <c r="Z603" t="s">
        <v>50</v>
      </c>
      <c r="AA603" s="1">
        <v>1</v>
      </c>
      <c r="AB603" s="1">
        <v>2.5</v>
      </c>
      <c r="AC603" s="1">
        <v>0.43609999999999999</v>
      </c>
      <c r="AD603" t="s">
        <v>50</v>
      </c>
      <c r="AE603" t="s">
        <v>50</v>
      </c>
      <c r="AF603" s="1">
        <v>0.1023</v>
      </c>
      <c r="AG603" t="s">
        <v>50</v>
      </c>
      <c r="AH603" t="s">
        <v>50</v>
      </c>
      <c r="AI603" t="s">
        <v>50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t="s">
        <v>1766</v>
      </c>
      <c r="AQ603" s="1">
        <v>9287</v>
      </c>
      <c r="AR603" t="s">
        <v>51</v>
      </c>
    </row>
    <row r="604" spans="1:44">
      <c r="A604" s="1">
        <v>92368</v>
      </c>
      <c r="B604" s="1">
        <v>92370</v>
      </c>
      <c r="C604" s="1">
        <v>84167</v>
      </c>
      <c r="D604" t="s">
        <v>1769</v>
      </c>
      <c r="E604" t="s">
        <v>1770</v>
      </c>
      <c r="F604" t="str">
        <f>VLOOKUP(E604,Tabela2[#All],2,FALSE)</f>
        <v>SEM FAMÍLIA</v>
      </c>
      <c r="G604" t="s">
        <v>1771</v>
      </c>
      <c r="H604" s="1">
        <v>0.67</v>
      </c>
      <c r="I604" s="1">
        <v>0.67</v>
      </c>
      <c r="J604" t="s">
        <v>46</v>
      </c>
      <c r="K604" s="1">
        <v>49.886105000000001</v>
      </c>
      <c r="L604" s="1">
        <v>6</v>
      </c>
      <c r="M604" s="1">
        <v>8.7799999999999994</v>
      </c>
      <c r="N604" s="1">
        <v>32963</v>
      </c>
      <c r="O604" t="s">
        <v>436</v>
      </c>
      <c r="P604" t="s">
        <v>1663</v>
      </c>
      <c r="Q604" t="s">
        <v>49</v>
      </c>
      <c r="R604" t="s">
        <v>50</v>
      </c>
      <c r="S604" t="s">
        <v>50</v>
      </c>
      <c r="T604" s="1">
        <v>19.7849413</v>
      </c>
      <c r="U604" s="1">
        <v>7.0821731000000003</v>
      </c>
      <c r="V604" s="1">
        <v>0</v>
      </c>
      <c r="W604" s="1">
        <v>0.7939098</v>
      </c>
      <c r="X604" t="s">
        <v>50</v>
      </c>
      <c r="Y604" s="1">
        <v>8.2000000000000003E-2</v>
      </c>
      <c r="Z604" t="s">
        <v>50</v>
      </c>
      <c r="AA604" s="1">
        <v>1.8</v>
      </c>
      <c r="AB604" s="1">
        <v>1.45</v>
      </c>
      <c r="AC604" s="1">
        <v>0.43609999999999999</v>
      </c>
      <c r="AD604" t="s">
        <v>50</v>
      </c>
      <c r="AE604" t="s">
        <v>50</v>
      </c>
      <c r="AF604" s="1">
        <v>0.13650000000000001</v>
      </c>
      <c r="AG604" t="s">
        <v>50</v>
      </c>
      <c r="AH604" t="s">
        <v>50</v>
      </c>
      <c r="AI604" t="s">
        <v>50</v>
      </c>
      <c r="AJ604" t="s">
        <v>50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t="s">
        <v>1772</v>
      </c>
      <c r="AQ604" s="1">
        <v>9288</v>
      </c>
      <c r="AR604" t="s">
        <v>51</v>
      </c>
    </row>
    <row r="605" spans="1:44">
      <c r="A605" s="1">
        <v>92373</v>
      </c>
      <c r="B605" s="1">
        <v>92370</v>
      </c>
      <c r="C605" s="1">
        <v>84167</v>
      </c>
      <c r="D605" t="s">
        <v>1773</v>
      </c>
      <c r="E605" t="s">
        <v>1770</v>
      </c>
      <c r="F605" t="str">
        <f>VLOOKUP(E605,Tabela2[#All],2,FALSE)</f>
        <v>SEM FAMÍLIA</v>
      </c>
      <c r="G605" t="s">
        <v>1771</v>
      </c>
      <c r="H605" s="1">
        <v>0.67</v>
      </c>
      <c r="I605" s="1">
        <v>0.67</v>
      </c>
      <c r="J605" t="s">
        <v>46</v>
      </c>
      <c r="K605" s="1">
        <v>49.886105000000001</v>
      </c>
      <c r="L605" s="1">
        <v>6</v>
      </c>
      <c r="M605" s="1">
        <v>8.7799999999999994</v>
      </c>
      <c r="N605" s="1">
        <v>32963</v>
      </c>
      <c r="O605" t="s">
        <v>436</v>
      </c>
      <c r="P605" t="s">
        <v>1663</v>
      </c>
      <c r="Q605" t="s">
        <v>49</v>
      </c>
      <c r="R605" t="s">
        <v>50</v>
      </c>
      <c r="S605" t="s">
        <v>50</v>
      </c>
      <c r="T605" s="1">
        <v>19.7849413</v>
      </c>
      <c r="U605" s="1">
        <v>7.0821731000000003</v>
      </c>
      <c r="V605" s="1">
        <v>0</v>
      </c>
      <c r="W605" s="1">
        <v>0.7939098</v>
      </c>
      <c r="X605" t="s">
        <v>50</v>
      </c>
      <c r="Y605" s="1">
        <v>8.2000000000000003E-2</v>
      </c>
      <c r="Z605" t="s">
        <v>50</v>
      </c>
      <c r="AA605" s="1">
        <v>1.8</v>
      </c>
      <c r="AB605" s="1">
        <v>1.45</v>
      </c>
      <c r="AC605" s="1">
        <v>0.43609999999999999</v>
      </c>
      <c r="AD605" t="s">
        <v>50</v>
      </c>
      <c r="AE605" t="s">
        <v>50</v>
      </c>
      <c r="AF605" s="1">
        <v>0.13650000000000001</v>
      </c>
      <c r="AG605" t="s">
        <v>50</v>
      </c>
      <c r="AH605" t="s">
        <v>50</v>
      </c>
      <c r="AI605" t="s">
        <v>50</v>
      </c>
      <c r="AJ605" t="s">
        <v>50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t="s">
        <v>1772</v>
      </c>
      <c r="AQ605" s="1">
        <v>9288</v>
      </c>
      <c r="AR605" t="s">
        <v>51</v>
      </c>
    </row>
    <row r="606" spans="1:44">
      <c r="A606" s="1">
        <v>54578</v>
      </c>
      <c r="B606" s="1">
        <v>54580</v>
      </c>
      <c r="C606" s="1">
        <v>48892</v>
      </c>
      <c r="D606" t="s">
        <v>1774</v>
      </c>
      <c r="E606" t="s">
        <v>1775</v>
      </c>
      <c r="F606" t="str">
        <f>VLOOKUP(E606,Tabela2[#All],2,FALSE)</f>
        <v>BRACKET</v>
      </c>
      <c r="G606" t="s">
        <v>1776</v>
      </c>
      <c r="H606" s="1">
        <v>5.97</v>
      </c>
      <c r="I606" s="1">
        <v>5.97</v>
      </c>
      <c r="J606" t="s">
        <v>46</v>
      </c>
      <c r="K606" s="1">
        <v>55.172414000000003</v>
      </c>
      <c r="L606" s="1">
        <v>1</v>
      </c>
      <c r="M606" s="1">
        <v>11.6</v>
      </c>
      <c r="N606" s="1">
        <v>45295</v>
      </c>
      <c r="O606" t="s">
        <v>58</v>
      </c>
      <c r="P606" t="s">
        <v>59</v>
      </c>
      <c r="Q606" t="s">
        <v>60</v>
      </c>
      <c r="R606" t="s">
        <v>50</v>
      </c>
      <c r="S606" t="s">
        <v>50</v>
      </c>
      <c r="T606" s="1">
        <v>54.031562399999999</v>
      </c>
      <c r="U606" s="1">
        <v>50.272951249999998</v>
      </c>
      <c r="V606" s="1">
        <v>0</v>
      </c>
      <c r="W606" s="1">
        <v>0</v>
      </c>
      <c r="X606" t="s">
        <v>50</v>
      </c>
      <c r="Y606" s="1">
        <v>5.5E-2</v>
      </c>
      <c r="Z606" t="s">
        <v>50</v>
      </c>
      <c r="AA606" t="s">
        <v>50</v>
      </c>
      <c r="AB606" t="s">
        <v>50</v>
      </c>
      <c r="AC606" t="s">
        <v>50</v>
      </c>
      <c r="AD606" t="s">
        <v>50</v>
      </c>
      <c r="AE606" s="1">
        <v>1</v>
      </c>
      <c r="AF606" s="1">
        <v>0.79800000000000004</v>
      </c>
      <c r="AG606" t="s">
        <v>50</v>
      </c>
      <c r="AH606" t="s">
        <v>50</v>
      </c>
      <c r="AI606" t="s">
        <v>50</v>
      </c>
      <c r="AJ606" t="s">
        <v>50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t="s">
        <v>1775</v>
      </c>
      <c r="AQ606" s="1">
        <v>3533</v>
      </c>
      <c r="AR606" t="s">
        <v>51</v>
      </c>
    </row>
    <row r="607" spans="1:44">
      <c r="A607" s="1">
        <v>66898</v>
      </c>
      <c r="B607" s="1">
        <v>66899</v>
      </c>
      <c r="C607" s="1">
        <v>60842</v>
      </c>
      <c r="D607" t="s">
        <v>1777</v>
      </c>
      <c r="E607" t="s">
        <v>1778</v>
      </c>
      <c r="F607" t="str">
        <f>VLOOKUP(E607,Tabela2[#All],2,FALSE)</f>
        <v>BRACKET</v>
      </c>
      <c r="G607" t="s">
        <v>1779</v>
      </c>
      <c r="H607" s="1">
        <v>4.63</v>
      </c>
      <c r="I607" s="1">
        <v>4.63</v>
      </c>
      <c r="J607" t="s">
        <v>46</v>
      </c>
      <c r="K607" s="1">
        <v>44.745762999999997</v>
      </c>
      <c r="L607" s="1">
        <v>1</v>
      </c>
      <c r="M607" s="1">
        <v>14.75</v>
      </c>
      <c r="N607" s="1">
        <v>45295</v>
      </c>
      <c r="O607" t="s">
        <v>58</v>
      </c>
      <c r="P607" t="s">
        <v>1681</v>
      </c>
      <c r="Q607" t="s">
        <v>1424</v>
      </c>
      <c r="R607" t="s">
        <v>50</v>
      </c>
      <c r="S607" t="s">
        <v>50</v>
      </c>
      <c r="T607" s="1">
        <v>94.485984279999997</v>
      </c>
      <c r="U607" s="1">
        <v>52.391358339999996</v>
      </c>
      <c r="V607" s="1">
        <v>0</v>
      </c>
      <c r="W607" s="1">
        <v>0</v>
      </c>
      <c r="X607" t="s">
        <v>50</v>
      </c>
      <c r="Y607" t="s">
        <v>50</v>
      </c>
      <c r="Z607" t="s">
        <v>50</v>
      </c>
      <c r="AA607" t="s">
        <v>50</v>
      </c>
      <c r="AB607" s="1">
        <v>9.6</v>
      </c>
      <c r="AC607" t="s">
        <v>50</v>
      </c>
      <c r="AD607" t="s">
        <v>50</v>
      </c>
      <c r="AE607" s="1">
        <v>1.4333</v>
      </c>
      <c r="AF607" s="1">
        <v>0.75</v>
      </c>
      <c r="AG607" t="s">
        <v>50</v>
      </c>
      <c r="AH607" t="s">
        <v>50</v>
      </c>
      <c r="AI607" t="s">
        <v>50</v>
      </c>
      <c r="AJ607" t="s">
        <v>50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t="s">
        <v>1778</v>
      </c>
      <c r="AQ607" s="1">
        <v>5587</v>
      </c>
      <c r="AR607" t="s">
        <v>51</v>
      </c>
    </row>
    <row r="608" spans="1:44">
      <c r="A608" s="1">
        <v>66897</v>
      </c>
      <c r="B608" s="1">
        <v>66901</v>
      </c>
      <c r="C608" s="1">
        <v>60843</v>
      </c>
      <c r="D608" t="s">
        <v>1780</v>
      </c>
      <c r="E608" t="s">
        <v>1781</v>
      </c>
      <c r="F608" t="str">
        <f>VLOOKUP(E608,Tabela2[#All],2,FALSE)</f>
        <v>BRACKET</v>
      </c>
      <c r="G608" t="s">
        <v>1782</v>
      </c>
      <c r="H608" s="1">
        <v>5.67</v>
      </c>
      <c r="I608" s="1">
        <v>5.67</v>
      </c>
      <c r="J608" t="s">
        <v>46</v>
      </c>
      <c r="K608" s="1">
        <v>50.554870999999999</v>
      </c>
      <c r="L608" s="1">
        <v>1</v>
      </c>
      <c r="M608" s="1">
        <v>16.22</v>
      </c>
      <c r="N608" s="1">
        <v>45295</v>
      </c>
      <c r="O608" t="s">
        <v>58</v>
      </c>
      <c r="P608" t="s">
        <v>1681</v>
      </c>
      <c r="Q608" t="s">
        <v>1424</v>
      </c>
      <c r="R608" t="s">
        <v>50</v>
      </c>
      <c r="S608" t="s">
        <v>50</v>
      </c>
      <c r="T608" s="1">
        <v>103.06184948000001</v>
      </c>
      <c r="U608" s="1">
        <v>59.912810729999997</v>
      </c>
      <c r="V608" s="1">
        <v>0</v>
      </c>
      <c r="W608" s="1">
        <v>0</v>
      </c>
      <c r="X608" t="s">
        <v>50</v>
      </c>
      <c r="Y608" s="1">
        <v>0.22500000000000001</v>
      </c>
      <c r="Z608" t="s">
        <v>50</v>
      </c>
      <c r="AA608" t="s">
        <v>50</v>
      </c>
      <c r="AB608" s="1">
        <v>9.6</v>
      </c>
      <c r="AC608" t="s">
        <v>50</v>
      </c>
      <c r="AD608" t="s">
        <v>50</v>
      </c>
      <c r="AE608" s="1">
        <v>1.4333</v>
      </c>
      <c r="AF608" s="1">
        <v>0.75</v>
      </c>
      <c r="AG608" t="s">
        <v>50</v>
      </c>
      <c r="AH608" t="s">
        <v>50</v>
      </c>
      <c r="AI608" t="s">
        <v>50</v>
      </c>
      <c r="AJ608" t="s">
        <v>50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t="s">
        <v>1783</v>
      </c>
      <c r="AQ608" s="1">
        <v>5827</v>
      </c>
      <c r="AR608" t="s">
        <v>51</v>
      </c>
    </row>
    <row r="609" spans="1:44">
      <c r="A609" s="1">
        <v>64980</v>
      </c>
      <c r="B609" s="1">
        <v>64977</v>
      </c>
      <c r="C609" s="1">
        <v>58929</v>
      </c>
      <c r="D609" t="s">
        <v>1784</v>
      </c>
      <c r="E609" t="s">
        <v>1785</v>
      </c>
      <c r="F609" t="str">
        <f>VLOOKUP(E609,Tabela2[#All],2,FALSE)</f>
        <v>TAÇA</v>
      </c>
      <c r="G609" t="s">
        <v>1786</v>
      </c>
      <c r="H609" s="1">
        <v>0.9</v>
      </c>
      <c r="I609" s="1">
        <v>0.9</v>
      </c>
      <c r="J609" t="s">
        <v>46</v>
      </c>
      <c r="K609" s="1">
        <v>51.231527</v>
      </c>
      <c r="L609" s="1">
        <v>10</v>
      </c>
      <c r="M609" s="1">
        <v>20.3</v>
      </c>
      <c r="N609" s="1">
        <v>32901</v>
      </c>
      <c r="O609" t="s">
        <v>534</v>
      </c>
      <c r="P609" t="s">
        <v>1247</v>
      </c>
      <c r="Q609" t="s">
        <v>49</v>
      </c>
      <c r="R609" t="s">
        <v>50</v>
      </c>
      <c r="S609" t="s">
        <v>50</v>
      </c>
      <c r="T609" s="1">
        <v>12.35201387</v>
      </c>
      <c r="U609" s="1">
        <v>6.79769457</v>
      </c>
      <c r="V609" s="1">
        <v>2.8547699999999998</v>
      </c>
      <c r="W609" s="1">
        <v>1.066446</v>
      </c>
      <c r="X609" t="s">
        <v>50</v>
      </c>
      <c r="Y609" s="1">
        <v>9.6799999999999997E-2</v>
      </c>
      <c r="Z609" t="s">
        <v>50</v>
      </c>
      <c r="AA609" s="1">
        <v>1.1324000000000001</v>
      </c>
      <c r="AB609" t="s">
        <v>50</v>
      </c>
      <c r="AC609" s="1">
        <v>0.27250000000000002</v>
      </c>
      <c r="AD609" t="s">
        <v>50</v>
      </c>
      <c r="AE609" t="s">
        <v>50</v>
      </c>
      <c r="AF609" s="1">
        <v>8.1000000000000003E-2</v>
      </c>
      <c r="AG609" t="s">
        <v>50</v>
      </c>
      <c r="AH609" t="s">
        <v>50</v>
      </c>
      <c r="AI609" t="s">
        <v>50</v>
      </c>
      <c r="AJ609" t="s">
        <v>50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t="s">
        <v>1787</v>
      </c>
      <c r="AQ609" s="1">
        <v>5127</v>
      </c>
      <c r="AR609" t="s">
        <v>51</v>
      </c>
    </row>
    <row r="610" spans="1:44">
      <c r="A610" s="1">
        <v>64983</v>
      </c>
      <c r="B610" s="1">
        <v>64977</v>
      </c>
      <c r="C610" s="1">
        <v>58929</v>
      </c>
      <c r="D610" t="s">
        <v>1788</v>
      </c>
      <c r="E610" t="s">
        <v>1785</v>
      </c>
      <c r="F610" t="str">
        <f>VLOOKUP(E610,Tabela2[#All],2,FALSE)</f>
        <v>TAÇA</v>
      </c>
      <c r="G610" t="s">
        <v>1786</v>
      </c>
      <c r="H610" s="1">
        <v>0.9</v>
      </c>
      <c r="I610" s="1">
        <v>0.9</v>
      </c>
      <c r="J610" t="s">
        <v>46</v>
      </c>
      <c r="K610" s="1">
        <v>51.231527</v>
      </c>
      <c r="L610" s="1">
        <v>10</v>
      </c>
      <c r="M610" s="1">
        <v>20.3</v>
      </c>
      <c r="N610" s="1">
        <v>32901</v>
      </c>
      <c r="O610" t="s">
        <v>534</v>
      </c>
      <c r="P610" t="s">
        <v>1247</v>
      </c>
      <c r="Q610" t="s">
        <v>49</v>
      </c>
      <c r="R610" t="s">
        <v>50</v>
      </c>
      <c r="S610" t="s">
        <v>50</v>
      </c>
      <c r="T610" s="1">
        <v>12.43918987</v>
      </c>
      <c r="U610" s="1">
        <v>6.79769457</v>
      </c>
      <c r="V610" s="1">
        <v>2.8547699999999998</v>
      </c>
      <c r="W610" s="1">
        <v>1.066446</v>
      </c>
      <c r="X610" t="s">
        <v>50</v>
      </c>
      <c r="Y610" s="1">
        <v>9.6799999999999997E-2</v>
      </c>
      <c r="Z610" t="s">
        <v>50</v>
      </c>
      <c r="AA610" s="1">
        <v>1.1324000000000001</v>
      </c>
      <c r="AB610" t="s">
        <v>50</v>
      </c>
      <c r="AC610" s="1">
        <v>0.27250000000000002</v>
      </c>
      <c r="AD610" t="s">
        <v>50</v>
      </c>
      <c r="AE610" t="s">
        <v>50</v>
      </c>
      <c r="AF610" s="1">
        <v>8.1000000000000003E-2</v>
      </c>
      <c r="AG610" t="s">
        <v>50</v>
      </c>
      <c r="AH610" t="s">
        <v>50</v>
      </c>
      <c r="AI610" t="s">
        <v>50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t="s">
        <v>1787</v>
      </c>
      <c r="AQ610" s="1">
        <v>5127</v>
      </c>
      <c r="AR610" t="s">
        <v>51</v>
      </c>
    </row>
    <row r="611" spans="1:44">
      <c r="A611" s="1">
        <v>66923</v>
      </c>
      <c r="B611" s="1">
        <v>66926</v>
      </c>
      <c r="C611" s="1">
        <v>60853</v>
      </c>
      <c r="D611" t="s">
        <v>1789</v>
      </c>
      <c r="E611" t="s">
        <v>1256</v>
      </c>
      <c r="F611" t="str">
        <f>VLOOKUP(E611,Tabela2[#All],2,FALSE)</f>
        <v>REVOLVER</v>
      </c>
      <c r="G611" t="s">
        <v>1257</v>
      </c>
      <c r="H611" s="1">
        <v>3.11</v>
      </c>
      <c r="I611" s="1">
        <v>3.11</v>
      </c>
      <c r="J611" t="s">
        <v>46</v>
      </c>
      <c r="K611" s="1">
        <v>60.524611</v>
      </c>
      <c r="L611" s="1">
        <v>3</v>
      </c>
      <c r="M611" s="1">
        <v>15.44</v>
      </c>
      <c r="N611" s="1">
        <v>32958</v>
      </c>
      <c r="O611" t="s">
        <v>81</v>
      </c>
      <c r="P611" t="s">
        <v>1247</v>
      </c>
      <c r="Q611" t="s">
        <v>49</v>
      </c>
      <c r="R611" t="s">
        <v>50</v>
      </c>
      <c r="S611" t="s">
        <v>50</v>
      </c>
      <c r="T611" s="1">
        <v>33.631997329999997</v>
      </c>
      <c r="U611" s="1">
        <v>18.853917150000001</v>
      </c>
      <c r="V611" s="1">
        <v>0</v>
      </c>
      <c r="W611" s="1">
        <v>3.6851634</v>
      </c>
      <c r="X611" t="s">
        <v>50</v>
      </c>
      <c r="Y611" s="1">
        <v>0.16800000000000001</v>
      </c>
      <c r="Z611" t="s">
        <v>50</v>
      </c>
      <c r="AA611" s="1">
        <v>1.4258999999999999</v>
      </c>
      <c r="AB611" t="s">
        <v>50</v>
      </c>
      <c r="AC611" s="1">
        <v>0.48480000000000001</v>
      </c>
      <c r="AD611" t="s">
        <v>50</v>
      </c>
      <c r="AE611" t="s">
        <v>50</v>
      </c>
      <c r="AF611" s="1">
        <v>0.24998999999999999</v>
      </c>
      <c r="AG611" t="s">
        <v>50</v>
      </c>
      <c r="AH611" t="s">
        <v>50</v>
      </c>
      <c r="AI611" t="s">
        <v>50</v>
      </c>
      <c r="AJ611" t="s">
        <v>50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t="s">
        <v>1258</v>
      </c>
      <c r="AQ611" s="1">
        <v>5607</v>
      </c>
      <c r="AR611" t="s">
        <v>51</v>
      </c>
    </row>
    <row r="612" spans="1:44">
      <c r="A612" s="1">
        <v>67417</v>
      </c>
      <c r="B612" s="1">
        <v>67419</v>
      </c>
      <c r="C612" s="1">
        <v>61290</v>
      </c>
      <c r="D612" t="s">
        <v>1254</v>
      </c>
      <c r="E612" t="s">
        <v>1252</v>
      </c>
      <c r="F612" t="str">
        <f>VLOOKUP(E612,Tabela2[#All],2,FALSE)</f>
        <v>GANSO</v>
      </c>
      <c r="G612" t="s">
        <v>1253</v>
      </c>
      <c r="H612" s="1">
        <v>2.6</v>
      </c>
      <c r="I612" s="1">
        <v>2.6</v>
      </c>
      <c r="J612" t="s">
        <v>46</v>
      </c>
      <c r="K612" s="1">
        <v>56.5</v>
      </c>
      <c r="L612" s="1">
        <v>3</v>
      </c>
      <c r="M612" s="1">
        <v>16.2</v>
      </c>
      <c r="N612" s="1">
        <v>32958</v>
      </c>
      <c r="O612" t="s">
        <v>81</v>
      </c>
      <c r="P612" t="s">
        <v>1247</v>
      </c>
      <c r="Q612" t="s">
        <v>49</v>
      </c>
      <c r="R612" t="s">
        <v>50</v>
      </c>
      <c r="S612" t="s">
        <v>50</v>
      </c>
      <c r="T612" s="1">
        <v>37.24001097</v>
      </c>
      <c r="U612" s="1">
        <v>20.401142069999999</v>
      </c>
      <c r="V612" s="1">
        <v>0</v>
      </c>
      <c r="W612" s="1">
        <v>3.0808439999999999</v>
      </c>
      <c r="X612" t="s">
        <v>50</v>
      </c>
      <c r="Y612" s="1">
        <v>0.1749</v>
      </c>
      <c r="Z612" s="1">
        <v>0.54220000000000002</v>
      </c>
      <c r="AA612" s="1">
        <v>1.431818</v>
      </c>
      <c r="AB612" t="s">
        <v>50</v>
      </c>
      <c r="AC612" s="1">
        <v>0.44440000000000002</v>
      </c>
      <c r="AD612" t="s">
        <v>50</v>
      </c>
      <c r="AE612" t="s">
        <v>50</v>
      </c>
      <c r="AF612" s="1">
        <v>0.23330999999999999</v>
      </c>
      <c r="AG612" t="s">
        <v>50</v>
      </c>
      <c r="AH612" t="s">
        <v>50</v>
      </c>
      <c r="AI612" t="s">
        <v>50</v>
      </c>
      <c r="AJ612" t="s">
        <v>50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t="s">
        <v>1254</v>
      </c>
      <c r="AQ612" s="1">
        <v>5947</v>
      </c>
      <c r="AR612" t="s">
        <v>51</v>
      </c>
    </row>
    <row r="613" spans="1:44">
      <c r="A613" s="1">
        <v>64958</v>
      </c>
      <c r="B613" s="1">
        <v>64977</v>
      </c>
      <c r="C613" s="1">
        <v>58929</v>
      </c>
      <c r="D613" t="s">
        <v>1790</v>
      </c>
      <c r="E613" t="s">
        <v>1785</v>
      </c>
      <c r="F613" t="str">
        <f>VLOOKUP(E613,Tabela2[#All],2,FALSE)</f>
        <v>TAÇA</v>
      </c>
      <c r="G613" t="s">
        <v>1786</v>
      </c>
      <c r="H613" s="1">
        <v>0.88</v>
      </c>
      <c r="I613" s="1">
        <v>0.88</v>
      </c>
      <c r="J613" t="s">
        <v>46</v>
      </c>
      <c r="K613" s="1">
        <v>51.231527</v>
      </c>
      <c r="L613" s="1">
        <v>10</v>
      </c>
      <c r="M613" s="1">
        <v>20.3</v>
      </c>
      <c r="N613" s="1">
        <v>32901</v>
      </c>
      <c r="O613" t="s">
        <v>534</v>
      </c>
      <c r="P613" t="s">
        <v>1247</v>
      </c>
      <c r="Q613" t="s">
        <v>49</v>
      </c>
      <c r="R613" t="s">
        <v>50</v>
      </c>
      <c r="S613" t="s">
        <v>50</v>
      </c>
      <c r="T613" s="1">
        <v>12.2064912</v>
      </c>
      <c r="U613" s="1">
        <v>6.79769457</v>
      </c>
      <c r="V613" s="1">
        <v>2.8547699999999998</v>
      </c>
      <c r="W613" s="1">
        <v>1.0427472</v>
      </c>
      <c r="X613" t="s">
        <v>50</v>
      </c>
      <c r="Y613" s="1">
        <v>9.6799999999999997E-2</v>
      </c>
      <c r="Z613" t="s">
        <v>50</v>
      </c>
      <c r="AA613" s="1">
        <v>1.1324000000000001</v>
      </c>
      <c r="AB613" t="s">
        <v>50</v>
      </c>
      <c r="AC613" s="1">
        <v>0.27250000000000002</v>
      </c>
      <c r="AD613" t="s">
        <v>50</v>
      </c>
      <c r="AE613" t="s">
        <v>50</v>
      </c>
      <c r="AF613" s="1">
        <v>8.1000000000000003E-2</v>
      </c>
      <c r="AG613" t="s">
        <v>50</v>
      </c>
      <c r="AH613" t="s">
        <v>50</v>
      </c>
      <c r="AI613" t="s">
        <v>50</v>
      </c>
      <c r="AJ613" t="s">
        <v>50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t="s">
        <v>1787</v>
      </c>
      <c r="AQ613" s="1">
        <v>5127</v>
      </c>
      <c r="AR613" t="s">
        <v>51</v>
      </c>
    </row>
    <row r="614" spans="1:44">
      <c r="A614" s="1">
        <v>112987</v>
      </c>
      <c r="B614" s="1">
        <v>112989</v>
      </c>
      <c r="C614" s="1">
        <v>95511</v>
      </c>
      <c r="D614" t="s">
        <v>1791</v>
      </c>
      <c r="E614" t="s">
        <v>1792</v>
      </c>
      <c r="F614" t="str">
        <f>VLOOKUP(E614,Tabela2[#All],2,FALSE)</f>
        <v>BASE</v>
      </c>
      <c r="G614" t="s">
        <v>1793</v>
      </c>
      <c r="H614" s="1">
        <v>7.25</v>
      </c>
      <c r="I614" s="1">
        <v>7.25</v>
      </c>
      <c r="J614" t="s">
        <v>46</v>
      </c>
      <c r="K614" s="1">
        <v>57.109557000000002</v>
      </c>
      <c r="L614" s="1">
        <v>1</v>
      </c>
      <c r="M614" s="1">
        <v>12.87</v>
      </c>
      <c r="N614" s="1">
        <v>32901</v>
      </c>
      <c r="O614" t="s">
        <v>534</v>
      </c>
      <c r="P614" t="s">
        <v>1262</v>
      </c>
      <c r="Q614" t="s">
        <v>350</v>
      </c>
      <c r="R614" t="s">
        <v>50</v>
      </c>
      <c r="S614" t="s">
        <v>50</v>
      </c>
      <c r="T614" s="1">
        <v>48.011843579999997</v>
      </c>
      <c r="U614" s="1">
        <v>45.691474100000001</v>
      </c>
      <c r="V614" s="1">
        <v>19.793800000000001</v>
      </c>
      <c r="W614" s="1">
        <v>0</v>
      </c>
      <c r="X614" t="s">
        <v>50</v>
      </c>
      <c r="Y614" s="1">
        <v>0.25</v>
      </c>
      <c r="Z614" t="s">
        <v>50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s="1">
        <v>0.81810000000000005</v>
      </c>
      <c r="AG614" t="s">
        <v>50</v>
      </c>
      <c r="AH614" t="s">
        <v>50</v>
      </c>
      <c r="AI614" t="s">
        <v>50</v>
      </c>
      <c r="AJ614" t="s">
        <v>50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t="s">
        <v>1794</v>
      </c>
      <c r="AQ614" s="1">
        <v>12027</v>
      </c>
      <c r="AR614" t="s">
        <v>51</v>
      </c>
    </row>
    <row r="615" spans="1:44">
      <c r="A615" s="1">
        <v>66217</v>
      </c>
      <c r="B615" s="1">
        <v>73178</v>
      </c>
      <c r="C615" s="1">
        <v>66130</v>
      </c>
      <c r="D615" t="s">
        <v>1795</v>
      </c>
      <c r="E615" t="s">
        <v>416</v>
      </c>
      <c r="F615" t="str">
        <f>VLOOKUP(E615,Tabela2[#All],2,FALSE)</f>
        <v>Válvula Nível 3</v>
      </c>
      <c r="G615" t="s">
        <v>417</v>
      </c>
      <c r="H615" s="1">
        <v>3.31</v>
      </c>
      <c r="I615" s="1">
        <v>3.31</v>
      </c>
      <c r="J615" t="s">
        <v>65</v>
      </c>
      <c r="K615" s="1">
        <v>73.190022999999997</v>
      </c>
      <c r="L615" s="1">
        <v>3.3333330000000001</v>
      </c>
      <c r="M615" s="1">
        <v>15.166</v>
      </c>
      <c r="N615" s="1">
        <v>36446</v>
      </c>
      <c r="O615" t="s">
        <v>119</v>
      </c>
      <c r="P615" t="s">
        <v>1796</v>
      </c>
      <c r="Q615" t="s">
        <v>68</v>
      </c>
      <c r="R615" s="1">
        <v>0.25</v>
      </c>
      <c r="S615" t="s">
        <v>50</v>
      </c>
      <c r="T615" s="1">
        <v>45.402083650000002</v>
      </c>
      <c r="U615" s="1">
        <v>44.226567420000002</v>
      </c>
      <c r="V615" s="1">
        <v>0</v>
      </c>
      <c r="W615" s="1">
        <v>0</v>
      </c>
      <c r="X615" t="s">
        <v>50</v>
      </c>
      <c r="Y615" t="s">
        <v>50</v>
      </c>
      <c r="Z615" t="s">
        <v>50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s="1">
        <v>0.2</v>
      </c>
      <c r="AH615" t="s">
        <v>50</v>
      </c>
      <c r="AI615" s="1">
        <v>4.5999999999999999E-2</v>
      </c>
      <c r="AJ615" t="s">
        <v>50</v>
      </c>
      <c r="AK615" t="s">
        <v>50</v>
      </c>
      <c r="AL615" t="s">
        <v>50</v>
      </c>
      <c r="AM615" t="s">
        <v>50</v>
      </c>
      <c r="AN615" s="1">
        <v>3.45</v>
      </c>
      <c r="AO615" t="s">
        <v>50</v>
      </c>
      <c r="AP615" t="s">
        <v>418</v>
      </c>
      <c r="AQ615" s="1">
        <v>6967</v>
      </c>
      <c r="AR615" t="s">
        <v>70</v>
      </c>
    </row>
    <row r="616" spans="1:44">
      <c r="A616" s="1">
        <v>66178</v>
      </c>
      <c r="B616" s="1">
        <v>73178</v>
      </c>
      <c r="C616" s="1">
        <v>66130</v>
      </c>
      <c r="D616" t="s">
        <v>1797</v>
      </c>
      <c r="E616" t="s">
        <v>416</v>
      </c>
      <c r="F616" t="str">
        <f>VLOOKUP(E616,Tabela2[#All],2,FALSE)</f>
        <v>Válvula Nível 3</v>
      </c>
      <c r="G616" t="s">
        <v>417</v>
      </c>
      <c r="H616" s="1">
        <v>2.7</v>
      </c>
      <c r="I616" s="1">
        <v>2.7</v>
      </c>
      <c r="J616" t="s">
        <v>65</v>
      </c>
      <c r="K616" s="1">
        <v>73.190022999999997</v>
      </c>
      <c r="L616" s="1">
        <v>3.3333330000000001</v>
      </c>
      <c r="M616" s="1">
        <v>15.166</v>
      </c>
      <c r="N616" s="1">
        <v>36446</v>
      </c>
      <c r="O616" t="s">
        <v>119</v>
      </c>
      <c r="P616" t="s">
        <v>341</v>
      </c>
      <c r="Q616" t="s">
        <v>68</v>
      </c>
      <c r="R616" s="1">
        <v>0.25</v>
      </c>
      <c r="S616" t="s">
        <v>50</v>
      </c>
      <c r="T616" s="1">
        <v>108.96504615000001</v>
      </c>
      <c r="U616" s="1">
        <v>44.226567420000002</v>
      </c>
      <c r="V616" s="1">
        <v>0</v>
      </c>
      <c r="W616" s="1">
        <v>0</v>
      </c>
      <c r="X616" t="s">
        <v>50</v>
      </c>
      <c r="Y616" t="s">
        <v>50</v>
      </c>
      <c r="Z616" t="s">
        <v>50</v>
      </c>
      <c r="AA616" t="s">
        <v>50</v>
      </c>
      <c r="AB616" s="1">
        <v>17.899999999999999</v>
      </c>
      <c r="AC616" t="s">
        <v>50</v>
      </c>
      <c r="AD616" t="s">
        <v>50</v>
      </c>
      <c r="AE616" t="s">
        <v>50</v>
      </c>
      <c r="AF616" t="s">
        <v>50</v>
      </c>
      <c r="AG616" s="1">
        <v>0.2</v>
      </c>
      <c r="AH616" t="s">
        <v>50</v>
      </c>
      <c r="AI616" s="1">
        <v>4.5999999999999999E-2</v>
      </c>
      <c r="AJ616" t="s">
        <v>50</v>
      </c>
      <c r="AK616" t="s">
        <v>50</v>
      </c>
      <c r="AL616" t="s">
        <v>50</v>
      </c>
      <c r="AM616" t="s">
        <v>50</v>
      </c>
      <c r="AN616" s="1">
        <v>3.45</v>
      </c>
      <c r="AO616" t="s">
        <v>50</v>
      </c>
      <c r="AP616" t="s">
        <v>418</v>
      </c>
      <c r="AQ616" s="1">
        <v>6967</v>
      </c>
      <c r="AR616" t="s">
        <v>70</v>
      </c>
    </row>
    <row r="617" spans="1:44">
      <c r="A617" s="1">
        <v>66178</v>
      </c>
      <c r="B617" s="1">
        <v>73178</v>
      </c>
      <c r="C617" s="1">
        <v>66130</v>
      </c>
      <c r="D617" t="s">
        <v>1797</v>
      </c>
      <c r="E617" t="s">
        <v>416</v>
      </c>
      <c r="F617" t="str">
        <f>VLOOKUP(E617,Tabela2[#All],2,FALSE)</f>
        <v>Válvula Nível 3</v>
      </c>
      <c r="G617" t="s">
        <v>417</v>
      </c>
      <c r="H617" s="1">
        <v>2.7</v>
      </c>
      <c r="I617" s="1">
        <v>2.7</v>
      </c>
      <c r="J617" t="s">
        <v>65</v>
      </c>
      <c r="K617" s="1">
        <v>73.190022999999997</v>
      </c>
      <c r="L617" s="1">
        <v>3.3333330000000001</v>
      </c>
      <c r="M617" s="1">
        <v>15.166</v>
      </c>
      <c r="N617" s="1">
        <v>36446</v>
      </c>
      <c r="O617" t="s">
        <v>119</v>
      </c>
      <c r="P617" t="s">
        <v>340</v>
      </c>
      <c r="Q617" t="s">
        <v>68</v>
      </c>
      <c r="R617" s="1">
        <v>0.25</v>
      </c>
      <c r="S617" t="s">
        <v>50</v>
      </c>
      <c r="T617" s="1">
        <v>108.96504615000001</v>
      </c>
      <c r="U617" s="1">
        <v>44.226567420000002</v>
      </c>
      <c r="V617" s="1">
        <v>0</v>
      </c>
      <c r="W617" s="1">
        <v>0</v>
      </c>
      <c r="X617" t="s">
        <v>50</v>
      </c>
      <c r="Y617" t="s">
        <v>50</v>
      </c>
      <c r="Z617" t="s">
        <v>50</v>
      </c>
      <c r="AA617" t="s">
        <v>50</v>
      </c>
      <c r="AB617" s="1">
        <v>17.899999999999999</v>
      </c>
      <c r="AC617" t="s">
        <v>50</v>
      </c>
      <c r="AD617" t="s">
        <v>50</v>
      </c>
      <c r="AE617" t="s">
        <v>50</v>
      </c>
      <c r="AF617" t="s">
        <v>50</v>
      </c>
      <c r="AG617" s="1">
        <v>0.2</v>
      </c>
      <c r="AH617" t="s">
        <v>50</v>
      </c>
      <c r="AI617" s="1">
        <v>4.5999999999999999E-2</v>
      </c>
      <c r="AJ617" t="s">
        <v>50</v>
      </c>
      <c r="AK617" t="s">
        <v>50</v>
      </c>
      <c r="AL617" t="s">
        <v>50</v>
      </c>
      <c r="AM617" t="s">
        <v>50</v>
      </c>
      <c r="AN617" s="1">
        <v>3.45</v>
      </c>
      <c r="AO617" t="s">
        <v>50</v>
      </c>
      <c r="AP617" t="s">
        <v>418</v>
      </c>
      <c r="AQ617" s="1">
        <v>6967</v>
      </c>
      <c r="AR617" t="s">
        <v>70</v>
      </c>
    </row>
    <row r="618" spans="1:44">
      <c r="A618" s="1">
        <v>115189</v>
      </c>
      <c r="B618" s="1">
        <v>115187</v>
      </c>
      <c r="C618" s="1">
        <v>97670</v>
      </c>
      <c r="D618" t="s">
        <v>1798</v>
      </c>
      <c r="E618" t="s">
        <v>1799</v>
      </c>
      <c r="F618" t="str">
        <f>VLOOKUP(E618,Tabela2[#All],2,FALSE)</f>
        <v>Válvula Nível 1</v>
      </c>
      <c r="G618" t="s">
        <v>1801</v>
      </c>
      <c r="H618" s="1">
        <v>6.4</v>
      </c>
      <c r="I618" s="1">
        <v>6.4</v>
      </c>
      <c r="J618" t="s">
        <v>65</v>
      </c>
      <c r="K618" s="1">
        <v>74.408901</v>
      </c>
      <c r="L618" s="1">
        <v>1.5</v>
      </c>
      <c r="M618" s="1">
        <v>12.942</v>
      </c>
      <c r="N618" s="1">
        <v>36441</v>
      </c>
      <c r="O618" t="s">
        <v>66</v>
      </c>
      <c r="P618" t="s">
        <v>1800</v>
      </c>
      <c r="Q618" t="s">
        <v>1424</v>
      </c>
      <c r="R618" t="s">
        <v>50</v>
      </c>
      <c r="S618" s="1">
        <v>1.4</v>
      </c>
      <c r="T618" s="1">
        <v>76.686666160000001</v>
      </c>
      <c r="U618" s="1">
        <v>75.652706159999994</v>
      </c>
      <c r="V618" s="1">
        <v>0</v>
      </c>
      <c r="W618" s="1">
        <v>0</v>
      </c>
      <c r="X618" t="s">
        <v>50</v>
      </c>
      <c r="Y618" t="s">
        <v>50</v>
      </c>
      <c r="Z618" t="s">
        <v>50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s="1">
        <v>0.66700000000000004</v>
      </c>
      <c r="AH618" s="1">
        <v>1.05</v>
      </c>
      <c r="AI618" s="1">
        <v>0.29399999999999998</v>
      </c>
      <c r="AJ618" t="s">
        <v>50</v>
      </c>
      <c r="AK618" t="s">
        <v>50</v>
      </c>
      <c r="AL618" t="s">
        <v>50</v>
      </c>
      <c r="AM618" t="s">
        <v>50</v>
      </c>
      <c r="AN618" s="1">
        <v>3.6</v>
      </c>
      <c r="AO618" t="s">
        <v>50</v>
      </c>
      <c r="AP618" t="s">
        <v>1802</v>
      </c>
      <c r="AQ618" s="1">
        <v>12828</v>
      </c>
      <c r="AR618" t="s">
        <v>70</v>
      </c>
    </row>
    <row r="619" spans="1:44">
      <c r="A619" s="1">
        <v>66421</v>
      </c>
      <c r="B619" s="1">
        <v>66419</v>
      </c>
      <c r="C619" s="1">
        <v>60371</v>
      </c>
      <c r="D619" t="s">
        <v>1803</v>
      </c>
      <c r="E619" t="s">
        <v>1804</v>
      </c>
      <c r="F619" t="str">
        <f>VLOOKUP(E619,Tabela2[#All],2,FALSE)</f>
        <v>RODINHA</v>
      </c>
      <c r="G619" t="s">
        <v>1805</v>
      </c>
      <c r="H619" s="1">
        <v>0.70499999999999996</v>
      </c>
      <c r="I619" s="1">
        <v>0.70499999999999996</v>
      </c>
      <c r="J619" t="s">
        <v>46</v>
      </c>
      <c r="K619" s="1">
        <v>60.416666999999997</v>
      </c>
      <c r="L619" s="1">
        <v>8</v>
      </c>
      <c r="M619" s="1">
        <v>9.6</v>
      </c>
      <c r="N619" s="1">
        <v>32958</v>
      </c>
      <c r="O619" t="s">
        <v>81</v>
      </c>
      <c r="P619" t="s">
        <v>724</v>
      </c>
      <c r="Q619" t="s">
        <v>49</v>
      </c>
      <c r="R619" t="s">
        <v>50</v>
      </c>
      <c r="S619" t="s">
        <v>50</v>
      </c>
      <c r="T619" s="1">
        <v>7.6377721999999997</v>
      </c>
      <c r="U619" s="1">
        <v>4.4122779400000001</v>
      </c>
      <c r="V619" s="1">
        <v>1.945125</v>
      </c>
      <c r="W619" s="1">
        <v>0.83538270000000003</v>
      </c>
      <c r="X619" t="s">
        <v>50</v>
      </c>
      <c r="Y619" s="1">
        <v>4.1599999999999998E-2</v>
      </c>
      <c r="Z619" t="s">
        <v>50</v>
      </c>
      <c r="AA619" s="1">
        <v>0.63149999999999995</v>
      </c>
      <c r="AB619" t="s">
        <v>50</v>
      </c>
      <c r="AC619" s="1">
        <v>0.17119999999999999</v>
      </c>
      <c r="AD619" t="s">
        <v>50</v>
      </c>
      <c r="AE619" t="s">
        <v>50</v>
      </c>
      <c r="AF619" s="1">
        <v>7.6920000000000002E-2</v>
      </c>
      <c r="AG619" t="s">
        <v>50</v>
      </c>
      <c r="AH619" t="s">
        <v>50</v>
      </c>
      <c r="AI619" t="s">
        <v>50</v>
      </c>
      <c r="AJ619" t="s">
        <v>50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t="s">
        <v>1804</v>
      </c>
      <c r="AQ619" s="1">
        <v>5487</v>
      </c>
      <c r="AR619" t="s">
        <v>51</v>
      </c>
    </row>
    <row r="620" spans="1:44">
      <c r="A620" s="1">
        <v>82526</v>
      </c>
      <c r="B620" s="1">
        <v>66419</v>
      </c>
      <c r="C620" s="1">
        <v>60371</v>
      </c>
      <c r="D620" t="s">
        <v>1806</v>
      </c>
      <c r="E620" t="s">
        <v>1804</v>
      </c>
      <c r="F620" t="str">
        <f>VLOOKUP(E620,Tabela2[#All],2,FALSE)</f>
        <v>RODINHA</v>
      </c>
      <c r="G620" t="s">
        <v>1805</v>
      </c>
      <c r="H620" s="1">
        <v>0.67</v>
      </c>
      <c r="I620" s="1">
        <v>0.67</v>
      </c>
      <c r="J620" t="s">
        <v>46</v>
      </c>
      <c r="K620" s="1">
        <v>60.416666999999997</v>
      </c>
      <c r="L620" s="1">
        <v>8</v>
      </c>
      <c r="M620" s="1">
        <v>9.6</v>
      </c>
      <c r="N620" s="1">
        <v>32958</v>
      </c>
      <c r="O620" t="s">
        <v>81</v>
      </c>
      <c r="P620" t="s">
        <v>724</v>
      </c>
      <c r="Q620" t="s">
        <v>49</v>
      </c>
      <c r="R620" t="s">
        <v>50</v>
      </c>
      <c r="S620" t="s">
        <v>50</v>
      </c>
      <c r="T620" s="1">
        <v>7.5642420000000001</v>
      </c>
      <c r="U620" s="1">
        <v>4.4122779400000001</v>
      </c>
      <c r="V620" s="1">
        <v>1.945125</v>
      </c>
      <c r="W620" s="1">
        <v>0.7939098</v>
      </c>
      <c r="X620" t="s">
        <v>50</v>
      </c>
      <c r="Y620" s="1">
        <v>4.1599999999999998E-2</v>
      </c>
      <c r="Z620" t="s">
        <v>50</v>
      </c>
      <c r="AA620" s="1">
        <v>0.61219999999999997</v>
      </c>
      <c r="AB620" t="s">
        <v>50</v>
      </c>
      <c r="AC620" s="1">
        <v>0.17119999999999999</v>
      </c>
      <c r="AD620" t="s">
        <v>50</v>
      </c>
      <c r="AE620" t="s">
        <v>50</v>
      </c>
      <c r="AF620" s="1">
        <v>7.6920000000000002E-2</v>
      </c>
      <c r="AG620" t="s">
        <v>50</v>
      </c>
      <c r="AH620" t="s">
        <v>50</v>
      </c>
      <c r="AI620" t="s">
        <v>50</v>
      </c>
      <c r="AJ620" t="s">
        <v>50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t="s">
        <v>1804</v>
      </c>
      <c r="AQ620" s="1">
        <v>5487</v>
      </c>
      <c r="AR620" t="s">
        <v>51</v>
      </c>
    </row>
    <row r="621" spans="1:44">
      <c r="A621" s="1">
        <v>68182</v>
      </c>
      <c r="B621" s="1">
        <v>68183</v>
      </c>
      <c r="C621" s="1">
        <v>62010</v>
      </c>
      <c r="D621" t="s">
        <v>1807</v>
      </c>
      <c r="E621" t="s">
        <v>1808</v>
      </c>
      <c r="F621" t="str">
        <f>VLOOKUP(E621,Tabela2[#All],2,FALSE)</f>
        <v>RODINHA</v>
      </c>
      <c r="G621" t="s">
        <v>1809</v>
      </c>
      <c r="H621" s="1">
        <v>0.65</v>
      </c>
      <c r="I621" s="1">
        <v>0.65</v>
      </c>
      <c r="J621" t="s">
        <v>46</v>
      </c>
      <c r="K621" s="1">
        <v>57.399102999999997</v>
      </c>
      <c r="L621" s="1">
        <v>8</v>
      </c>
      <c r="M621" s="1">
        <v>8.92</v>
      </c>
      <c r="N621" s="1">
        <v>32958</v>
      </c>
      <c r="O621" t="s">
        <v>81</v>
      </c>
      <c r="P621" t="s">
        <v>724</v>
      </c>
      <c r="Q621" t="s">
        <v>49</v>
      </c>
      <c r="R621" t="s">
        <v>50</v>
      </c>
      <c r="S621" t="s">
        <v>50</v>
      </c>
      <c r="T621" s="1">
        <v>7.2059943200000003</v>
      </c>
      <c r="U621" s="1">
        <v>4.0912128000000001</v>
      </c>
      <c r="V621" s="1">
        <v>1.7508250000000001</v>
      </c>
      <c r="W621" s="1">
        <v>0.77021099999999998</v>
      </c>
      <c r="X621" t="s">
        <v>50</v>
      </c>
      <c r="Y621" s="1">
        <v>4.1599999999999998E-2</v>
      </c>
      <c r="Z621" t="s">
        <v>50</v>
      </c>
      <c r="AA621" s="1">
        <v>0.63100000000000001</v>
      </c>
      <c r="AB621" t="s">
        <v>50</v>
      </c>
      <c r="AC621" s="1">
        <v>0.17119999999999999</v>
      </c>
      <c r="AD621" t="s">
        <v>50</v>
      </c>
      <c r="AE621" t="s">
        <v>50</v>
      </c>
      <c r="AF621" s="1">
        <v>8.0625000000000002E-2</v>
      </c>
      <c r="AG621" t="s">
        <v>50</v>
      </c>
      <c r="AH621" t="s">
        <v>50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t="s">
        <v>1808</v>
      </c>
      <c r="AQ621" s="1">
        <v>5987</v>
      </c>
      <c r="AR621" t="s">
        <v>51</v>
      </c>
    </row>
    <row r="622" spans="1:44">
      <c r="A622" s="1">
        <v>82524</v>
      </c>
      <c r="B622" s="1">
        <v>68183</v>
      </c>
      <c r="C622" s="1">
        <v>62010</v>
      </c>
      <c r="D622" t="s">
        <v>1810</v>
      </c>
      <c r="E622" t="s">
        <v>1808</v>
      </c>
      <c r="F622" t="str">
        <f>VLOOKUP(E622,Tabela2[#All],2,FALSE)</f>
        <v>RODINHA</v>
      </c>
      <c r="G622" t="s">
        <v>1809</v>
      </c>
      <c r="H622" s="1">
        <v>0.65</v>
      </c>
      <c r="I622" s="1">
        <v>0.65</v>
      </c>
      <c r="J622" t="s">
        <v>46</v>
      </c>
      <c r="K622" s="1">
        <v>57.399102999999997</v>
      </c>
      <c r="L622" s="1">
        <v>8</v>
      </c>
      <c r="M622" s="1">
        <v>8.92</v>
      </c>
      <c r="N622" s="1">
        <v>32958</v>
      </c>
      <c r="O622" t="s">
        <v>81</v>
      </c>
      <c r="P622" t="s">
        <v>724</v>
      </c>
      <c r="Q622" t="s">
        <v>49</v>
      </c>
      <c r="R622" t="s">
        <v>50</v>
      </c>
      <c r="S622" t="s">
        <v>50</v>
      </c>
      <c r="T622" s="1">
        <v>7.2059943200000003</v>
      </c>
      <c r="U622" s="1">
        <v>4.0912128000000001</v>
      </c>
      <c r="V622" s="1">
        <v>1.7508250000000001</v>
      </c>
      <c r="W622" s="1">
        <v>0.77021099999999998</v>
      </c>
      <c r="X622" t="s">
        <v>50</v>
      </c>
      <c r="Y622" s="1">
        <v>4.1599999999999998E-2</v>
      </c>
      <c r="Z622" t="s">
        <v>50</v>
      </c>
      <c r="AA622" s="1">
        <v>0.63100000000000001</v>
      </c>
      <c r="AB622" t="s">
        <v>50</v>
      </c>
      <c r="AC622" s="1">
        <v>0.17119999999999999</v>
      </c>
      <c r="AD622" t="s">
        <v>50</v>
      </c>
      <c r="AE622" t="s">
        <v>50</v>
      </c>
      <c r="AF622" s="1">
        <v>8.0625000000000002E-2</v>
      </c>
      <c r="AG622" t="s">
        <v>50</v>
      </c>
      <c r="AH622" t="s">
        <v>50</v>
      </c>
      <c r="AI622" t="s">
        <v>50</v>
      </c>
      <c r="AJ622" t="s">
        <v>50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t="s">
        <v>1808</v>
      </c>
      <c r="AQ622" s="1">
        <v>5987</v>
      </c>
      <c r="AR622" t="s">
        <v>51</v>
      </c>
    </row>
    <row r="623" spans="1:44">
      <c r="A623" s="1">
        <v>112931</v>
      </c>
      <c r="B623" s="1">
        <v>112933</v>
      </c>
      <c r="C623" s="1">
        <v>95455</v>
      </c>
      <c r="D623" t="s">
        <v>1811</v>
      </c>
      <c r="E623" t="s">
        <v>1812</v>
      </c>
      <c r="F623" t="str">
        <f>VLOOKUP(E623,Tabela2[#All],2,FALSE)</f>
        <v>BASE</v>
      </c>
      <c r="G623" t="s">
        <v>1813</v>
      </c>
      <c r="H623" s="1">
        <v>1.3</v>
      </c>
      <c r="I623" s="1">
        <v>1.3</v>
      </c>
      <c r="J623" t="s">
        <v>46</v>
      </c>
      <c r="K623" s="1">
        <v>48.375450999999998</v>
      </c>
      <c r="L623" s="1">
        <v>4</v>
      </c>
      <c r="M623" s="1">
        <v>11.08</v>
      </c>
      <c r="N623" s="1">
        <v>32901</v>
      </c>
      <c r="O623" t="s">
        <v>534</v>
      </c>
      <c r="P623" t="s">
        <v>1262</v>
      </c>
      <c r="Q623" t="s">
        <v>350</v>
      </c>
      <c r="R623" t="s">
        <v>50</v>
      </c>
      <c r="S623" t="s">
        <v>50</v>
      </c>
      <c r="T623" s="1">
        <v>10.803341189999999</v>
      </c>
      <c r="U623" s="1">
        <v>10.185390119999999</v>
      </c>
      <c r="V623" s="1">
        <v>3.8537499999999998</v>
      </c>
      <c r="W623" s="1">
        <v>0</v>
      </c>
      <c r="X623" t="s">
        <v>50</v>
      </c>
      <c r="Y623" s="1">
        <v>2.3099999999999999E-2</v>
      </c>
      <c r="Z623" t="s">
        <v>50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s="1">
        <v>0.2142</v>
      </c>
      <c r="AG623" t="s">
        <v>50</v>
      </c>
      <c r="AH623" t="s">
        <v>50</v>
      </c>
      <c r="AI623" t="s">
        <v>50</v>
      </c>
      <c r="AJ623" t="s">
        <v>50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t="s">
        <v>1814</v>
      </c>
      <c r="AQ623" s="1">
        <v>11967</v>
      </c>
      <c r="AR623" t="s">
        <v>51</v>
      </c>
    </row>
    <row r="624" spans="1:44">
      <c r="A624" s="1">
        <v>97074</v>
      </c>
      <c r="B624" s="1">
        <v>97073</v>
      </c>
      <c r="C624" s="1">
        <v>88748</v>
      </c>
      <c r="D624" t="s">
        <v>1815</v>
      </c>
      <c r="E624" t="s">
        <v>1816</v>
      </c>
      <c r="F624" t="str">
        <f>VLOOKUP(E624,Tabela2[#All],2,FALSE)</f>
        <v>ENGRENAGEM</v>
      </c>
      <c r="G624" t="s">
        <v>1817</v>
      </c>
      <c r="H624" s="1">
        <v>1.47</v>
      </c>
      <c r="I624" s="1">
        <v>1.47</v>
      </c>
      <c r="J624" t="s">
        <v>46</v>
      </c>
      <c r="K624" s="1">
        <v>50.254669</v>
      </c>
      <c r="L624" s="1">
        <v>4</v>
      </c>
      <c r="M624" s="1">
        <v>11.78</v>
      </c>
      <c r="N624" s="1">
        <v>32901</v>
      </c>
      <c r="O624" t="s">
        <v>534</v>
      </c>
      <c r="P624" t="s">
        <v>1818</v>
      </c>
      <c r="Q624" t="s">
        <v>76</v>
      </c>
      <c r="R624" t="s">
        <v>50</v>
      </c>
      <c r="S624" t="s">
        <v>50</v>
      </c>
      <c r="T624" s="1">
        <v>12.658291350000001</v>
      </c>
      <c r="U624" s="1">
        <v>11.75209409</v>
      </c>
      <c r="V624" s="1">
        <v>4.1901999999999999</v>
      </c>
      <c r="W624" s="1">
        <v>0</v>
      </c>
      <c r="X624" t="s">
        <v>50</v>
      </c>
      <c r="Y624" s="1">
        <v>0.03</v>
      </c>
      <c r="Z624" t="s">
        <v>50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s="1">
        <v>0.2046</v>
      </c>
      <c r="AG624" t="s">
        <v>50</v>
      </c>
      <c r="AH624" t="s">
        <v>50</v>
      </c>
      <c r="AI624" t="s">
        <v>50</v>
      </c>
      <c r="AJ624" t="s">
        <v>50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t="s">
        <v>1819</v>
      </c>
      <c r="AQ624" s="1">
        <v>10327</v>
      </c>
      <c r="AR624" t="s">
        <v>51</v>
      </c>
    </row>
    <row r="625" spans="1:44">
      <c r="A625" s="1">
        <v>97107</v>
      </c>
      <c r="B625" s="1">
        <v>97109</v>
      </c>
      <c r="C625" s="1">
        <v>88785</v>
      </c>
      <c r="D625" t="s">
        <v>1820</v>
      </c>
      <c r="E625" t="s">
        <v>1821</v>
      </c>
      <c r="F625" t="str">
        <f>VLOOKUP(E625,Tabela2[#All],2,FALSE)</f>
        <v>ENGRENAGEM</v>
      </c>
      <c r="G625" t="s">
        <v>1822</v>
      </c>
      <c r="H625" s="1">
        <v>0.44</v>
      </c>
      <c r="I625" s="1">
        <v>0.44</v>
      </c>
      <c r="J625" t="s">
        <v>46</v>
      </c>
      <c r="K625" s="1">
        <v>57.424348999999999</v>
      </c>
      <c r="L625" s="1">
        <v>12</v>
      </c>
      <c r="M625" s="1">
        <v>14.21</v>
      </c>
      <c r="N625" s="1">
        <v>32901</v>
      </c>
      <c r="O625" t="s">
        <v>534</v>
      </c>
      <c r="P625" t="s">
        <v>1818</v>
      </c>
      <c r="Q625" t="s">
        <v>76</v>
      </c>
      <c r="R625" t="s">
        <v>50</v>
      </c>
      <c r="S625" t="s">
        <v>50</v>
      </c>
      <c r="T625" s="1">
        <v>6.52415068</v>
      </c>
      <c r="U625" s="1">
        <v>4.0043015300000002</v>
      </c>
      <c r="V625" s="1">
        <v>1.8274833333333333</v>
      </c>
      <c r="W625" s="1">
        <v>0</v>
      </c>
      <c r="X625" t="s">
        <v>50</v>
      </c>
      <c r="Y625" s="1">
        <v>0.03</v>
      </c>
      <c r="Z625" t="s">
        <v>50</v>
      </c>
      <c r="AA625" s="1">
        <v>1.0900000000000001</v>
      </c>
      <c r="AB625" t="s">
        <v>50</v>
      </c>
      <c r="AC625" t="s">
        <v>50</v>
      </c>
      <c r="AD625" t="s">
        <v>50</v>
      </c>
      <c r="AE625" t="s">
        <v>50</v>
      </c>
      <c r="AF625" s="1">
        <v>6.8099999999999994E-2</v>
      </c>
      <c r="AG625" t="s">
        <v>50</v>
      </c>
      <c r="AH625" t="s">
        <v>50</v>
      </c>
      <c r="AI625" t="s">
        <v>50</v>
      </c>
      <c r="AJ625" t="s">
        <v>50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t="s">
        <v>1823</v>
      </c>
      <c r="AQ625" s="1">
        <v>10347</v>
      </c>
      <c r="AR625" t="s">
        <v>51</v>
      </c>
    </row>
    <row r="626" spans="1:44">
      <c r="A626" s="1">
        <v>32825</v>
      </c>
      <c r="B626" s="1">
        <v>38963</v>
      </c>
      <c r="C626" s="1">
        <v>32162</v>
      </c>
      <c r="D626" t="s">
        <v>1824</v>
      </c>
      <c r="E626" t="s">
        <v>1825</v>
      </c>
      <c r="F626" t="str">
        <f>VLOOKUP(E626,Tabela2[#All],2,FALSE)</f>
        <v>GANSO</v>
      </c>
      <c r="G626" t="s">
        <v>1826</v>
      </c>
      <c r="H626" s="1">
        <v>2.78</v>
      </c>
      <c r="I626" s="1">
        <v>2.78</v>
      </c>
      <c r="J626" t="s">
        <v>46</v>
      </c>
      <c r="K626" s="1">
        <v>59.367959999999997</v>
      </c>
      <c r="L626" s="1">
        <v>3</v>
      </c>
      <c r="M626" s="1">
        <v>16.422999999999998</v>
      </c>
      <c r="N626" s="1">
        <v>32901</v>
      </c>
      <c r="O626" t="s">
        <v>534</v>
      </c>
      <c r="P626" t="s">
        <v>1827</v>
      </c>
      <c r="Q626" t="s">
        <v>49</v>
      </c>
      <c r="R626" t="s">
        <v>50</v>
      </c>
      <c r="S626" s="1">
        <v>0.52200000000000002</v>
      </c>
      <c r="T626" s="1">
        <v>45.012597669999998</v>
      </c>
      <c r="U626" s="1">
        <v>24.846596739999999</v>
      </c>
      <c r="V626" s="1">
        <v>0</v>
      </c>
      <c r="W626" s="1">
        <v>3.2941332000000001</v>
      </c>
      <c r="X626" t="s">
        <v>50</v>
      </c>
      <c r="Y626" s="1">
        <v>0.115</v>
      </c>
      <c r="Z626" s="1">
        <v>0.50719999999999998</v>
      </c>
      <c r="AA626" s="1">
        <v>2.340541</v>
      </c>
      <c r="AB626" t="s">
        <v>50</v>
      </c>
      <c r="AC626" s="1">
        <v>0.59250000000000003</v>
      </c>
      <c r="AD626" t="s">
        <v>50</v>
      </c>
      <c r="AE626" t="s">
        <v>50</v>
      </c>
      <c r="AF626" s="1">
        <v>0.3</v>
      </c>
      <c r="AG626" t="s">
        <v>50</v>
      </c>
      <c r="AH626" t="s">
        <v>50</v>
      </c>
      <c r="AI626" t="s">
        <v>50</v>
      </c>
      <c r="AJ626" t="s">
        <v>50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t="s">
        <v>1825</v>
      </c>
      <c r="AQ626" s="1">
        <v>2071</v>
      </c>
      <c r="AR626" t="s">
        <v>51</v>
      </c>
    </row>
    <row r="627" spans="1:44">
      <c r="A627" s="1">
        <v>32825</v>
      </c>
      <c r="B627" s="1">
        <v>38963</v>
      </c>
      <c r="C627" s="1">
        <v>32162</v>
      </c>
      <c r="D627" t="s">
        <v>1824</v>
      </c>
      <c r="E627" t="s">
        <v>1825</v>
      </c>
      <c r="F627" t="str">
        <f>VLOOKUP(E627,Tabela2[#All],2,FALSE)</f>
        <v>GANSO</v>
      </c>
      <c r="G627" t="s">
        <v>1826</v>
      </c>
      <c r="H627" s="1">
        <v>2.78</v>
      </c>
      <c r="I627" s="1">
        <v>2.78</v>
      </c>
      <c r="J627" t="s">
        <v>46</v>
      </c>
      <c r="K627" s="1">
        <v>59.367959999999997</v>
      </c>
      <c r="L627" s="1">
        <v>3</v>
      </c>
      <c r="M627" s="1">
        <v>16.422999999999998</v>
      </c>
      <c r="N627" s="1">
        <v>32901</v>
      </c>
      <c r="O627" t="s">
        <v>534</v>
      </c>
      <c r="P627" t="s">
        <v>1828</v>
      </c>
      <c r="Q627" t="s">
        <v>49</v>
      </c>
      <c r="R627" t="s">
        <v>50</v>
      </c>
      <c r="S627" s="1">
        <v>0.52200000000000002</v>
      </c>
      <c r="T627" s="1">
        <v>45.012597669999998</v>
      </c>
      <c r="U627" s="1">
        <v>24.846596739999999</v>
      </c>
      <c r="V627" s="1">
        <v>0</v>
      </c>
      <c r="W627" s="1">
        <v>3.2941332000000001</v>
      </c>
      <c r="X627" t="s">
        <v>50</v>
      </c>
      <c r="Y627" s="1">
        <v>0.115</v>
      </c>
      <c r="Z627" s="1">
        <v>0.50719999999999998</v>
      </c>
      <c r="AA627" s="1">
        <v>2.340541</v>
      </c>
      <c r="AB627" t="s">
        <v>50</v>
      </c>
      <c r="AC627" s="1">
        <v>0.59250000000000003</v>
      </c>
      <c r="AD627" t="s">
        <v>50</v>
      </c>
      <c r="AE627" t="s">
        <v>50</v>
      </c>
      <c r="AF627" s="1">
        <v>0.3</v>
      </c>
      <c r="AG627" t="s">
        <v>50</v>
      </c>
      <c r="AH627" t="s">
        <v>50</v>
      </c>
      <c r="AI627" t="s">
        <v>50</v>
      </c>
      <c r="AJ627" t="s">
        <v>50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t="s">
        <v>1825</v>
      </c>
      <c r="AQ627" s="1">
        <v>2071</v>
      </c>
      <c r="AR627" t="s">
        <v>51</v>
      </c>
    </row>
    <row r="628" spans="1:44">
      <c r="A628" s="1">
        <v>31940</v>
      </c>
      <c r="B628" s="1">
        <v>37880</v>
      </c>
      <c r="C628" s="1">
        <v>31267</v>
      </c>
      <c r="D628" t="s">
        <v>1829</v>
      </c>
      <c r="E628" t="s">
        <v>1830</v>
      </c>
      <c r="F628" t="str">
        <f>VLOOKUP(E628,Tabela2[#All],2,FALSE)</f>
        <v>GANSO</v>
      </c>
      <c r="G628" t="s">
        <v>1831</v>
      </c>
      <c r="H628" s="1">
        <v>4.3099999999999996</v>
      </c>
      <c r="I628" s="1">
        <v>4.3099999999999996</v>
      </c>
      <c r="J628" t="s">
        <v>46</v>
      </c>
      <c r="K628" s="1">
        <v>63.736263999999998</v>
      </c>
      <c r="L628" s="1">
        <v>2</v>
      </c>
      <c r="M628" s="1">
        <v>16.38</v>
      </c>
      <c r="N628" s="1">
        <v>32901</v>
      </c>
      <c r="O628" t="s">
        <v>534</v>
      </c>
      <c r="P628" t="s">
        <v>1828</v>
      </c>
      <c r="Q628" t="s">
        <v>49</v>
      </c>
      <c r="R628" t="s">
        <v>50</v>
      </c>
      <c r="S628" s="1">
        <v>0.745</v>
      </c>
      <c r="T628" s="1">
        <v>63.841381239999997</v>
      </c>
      <c r="U628" s="1">
        <v>32.830489710000002</v>
      </c>
      <c r="V628" s="1">
        <v>13.238049999999999</v>
      </c>
      <c r="W628" s="1">
        <v>5.1070913999999998</v>
      </c>
      <c r="X628" s="1">
        <v>0.3</v>
      </c>
      <c r="Y628" s="1">
        <v>0.3332</v>
      </c>
      <c r="Z628" s="1">
        <v>1</v>
      </c>
      <c r="AA628" s="1">
        <v>2.4500000000000002</v>
      </c>
      <c r="AB628" t="s">
        <v>50</v>
      </c>
      <c r="AC628" s="1">
        <v>1.1160000000000001</v>
      </c>
      <c r="AD628" t="s">
        <v>50</v>
      </c>
      <c r="AE628" t="s">
        <v>50</v>
      </c>
      <c r="AF628" s="1">
        <v>0.375</v>
      </c>
      <c r="AG628" t="s">
        <v>50</v>
      </c>
      <c r="AH628" t="s">
        <v>50</v>
      </c>
      <c r="AI628" t="s">
        <v>50</v>
      </c>
      <c r="AJ628" t="s">
        <v>50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t="s">
        <v>1830</v>
      </c>
      <c r="AQ628" s="1">
        <v>2327</v>
      </c>
      <c r="AR628" t="s">
        <v>51</v>
      </c>
    </row>
    <row r="629" spans="1:44">
      <c r="A629" s="1">
        <v>31940</v>
      </c>
      <c r="B629" s="1">
        <v>37880</v>
      </c>
      <c r="C629" s="1">
        <v>31267</v>
      </c>
      <c r="D629" t="s">
        <v>1829</v>
      </c>
      <c r="E629" t="s">
        <v>1830</v>
      </c>
      <c r="F629" t="str">
        <f>VLOOKUP(E629,Tabela2[#All],2,FALSE)</f>
        <v>GANSO</v>
      </c>
      <c r="G629" t="s">
        <v>1831</v>
      </c>
      <c r="H629" s="1">
        <v>4.3099999999999996</v>
      </c>
      <c r="I629" s="1">
        <v>4.3099999999999996</v>
      </c>
      <c r="J629" t="s">
        <v>46</v>
      </c>
      <c r="K629" s="1">
        <v>63.736263999999998</v>
      </c>
      <c r="L629" s="1">
        <v>2</v>
      </c>
      <c r="M629" s="1">
        <v>16.38</v>
      </c>
      <c r="N629" s="1">
        <v>32901</v>
      </c>
      <c r="O629" t="s">
        <v>534</v>
      </c>
      <c r="P629" t="s">
        <v>256</v>
      </c>
      <c r="Q629" t="s">
        <v>49</v>
      </c>
      <c r="R629" t="s">
        <v>50</v>
      </c>
      <c r="S629" s="1">
        <v>0.745</v>
      </c>
      <c r="T629" s="1">
        <v>63.841381239999997</v>
      </c>
      <c r="U629" s="1">
        <v>32.830489710000002</v>
      </c>
      <c r="V629" s="1">
        <v>13.238049999999999</v>
      </c>
      <c r="W629" s="1">
        <v>5.1070913999999998</v>
      </c>
      <c r="X629" s="1">
        <v>0.3</v>
      </c>
      <c r="Y629" s="1">
        <v>0.3332</v>
      </c>
      <c r="Z629" s="1">
        <v>1</v>
      </c>
      <c r="AA629" s="1">
        <v>2.4500000000000002</v>
      </c>
      <c r="AB629" t="s">
        <v>50</v>
      </c>
      <c r="AC629" s="1">
        <v>1.1160000000000001</v>
      </c>
      <c r="AD629" t="s">
        <v>50</v>
      </c>
      <c r="AE629" t="s">
        <v>50</v>
      </c>
      <c r="AF629" s="1">
        <v>0.375</v>
      </c>
      <c r="AG629" t="s">
        <v>50</v>
      </c>
      <c r="AH629" t="s">
        <v>50</v>
      </c>
      <c r="AI629" t="s">
        <v>50</v>
      </c>
      <c r="AJ629" t="s">
        <v>50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t="s">
        <v>1830</v>
      </c>
      <c r="AQ629" s="1">
        <v>2327</v>
      </c>
      <c r="AR629" t="s">
        <v>51</v>
      </c>
    </row>
    <row r="630" spans="1:44">
      <c r="A630" s="1">
        <v>78378</v>
      </c>
      <c r="B630" s="1">
        <v>78365</v>
      </c>
      <c r="C630" s="1">
        <v>70913</v>
      </c>
      <c r="D630" t="s">
        <v>1832</v>
      </c>
      <c r="E630" t="s">
        <v>1833</v>
      </c>
      <c r="F630" t="str">
        <f>VLOOKUP(E630,Tabela2[#All],2,FALSE)</f>
        <v>FLANGE TAÇA</v>
      </c>
      <c r="G630" t="s">
        <v>1834</v>
      </c>
      <c r="H630" s="1">
        <v>9.0399999999999991</v>
      </c>
      <c r="I630" s="1">
        <v>9.0399999999999991</v>
      </c>
      <c r="J630" t="s">
        <v>46</v>
      </c>
      <c r="K630" s="1">
        <v>55.172414000000003</v>
      </c>
      <c r="L630" s="1">
        <v>1</v>
      </c>
      <c r="M630" s="1">
        <v>20.3</v>
      </c>
      <c r="N630" s="1">
        <v>32901</v>
      </c>
      <c r="O630" t="s">
        <v>534</v>
      </c>
      <c r="P630" t="s">
        <v>1827</v>
      </c>
      <c r="Q630" t="s">
        <v>49</v>
      </c>
      <c r="R630" t="s">
        <v>50</v>
      </c>
      <c r="S630" t="s">
        <v>50</v>
      </c>
      <c r="T630" s="1">
        <v>118.52168736</v>
      </c>
      <c r="U630" s="1">
        <v>81.585843499999996</v>
      </c>
      <c r="V630" s="1">
        <v>30.037800000000001</v>
      </c>
      <c r="W630" s="1">
        <v>10.7118576</v>
      </c>
      <c r="X630" t="s">
        <v>50</v>
      </c>
      <c r="Y630" s="1">
        <v>0.4</v>
      </c>
      <c r="Z630" s="1">
        <v>0.63</v>
      </c>
      <c r="AA630" s="1">
        <v>4.3357999999999999</v>
      </c>
      <c r="AB630" t="s">
        <v>50</v>
      </c>
      <c r="AC630" s="1">
        <v>2</v>
      </c>
      <c r="AD630" t="s">
        <v>50</v>
      </c>
      <c r="AE630" t="s">
        <v>50</v>
      </c>
      <c r="AF630" s="1">
        <v>0.79800000000000004</v>
      </c>
      <c r="AG630" t="s">
        <v>50</v>
      </c>
      <c r="AH630" t="s">
        <v>50</v>
      </c>
      <c r="AI630" t="s">
        <v>50</v>
      </c>
      <c r="AJ630" t="s">
        <v>50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t="s">
        <v>1833</v>
      </c>
      <c r="AQ630" s="1">
        <v>7768</v>
      </c>
      <c r="AR630" t="s">
        <v>51</v>
      </c>
    </row>
    <row r="631" spans="1:44">
      <c r="A631" s="1">
        <v>78378</v>
      </c>
      <c r="B631" s="1">
        <v>78365</v>
      </c>
      <c r="C631" s="1">
        <v>70913</v>
      </c>
      <c r="D631" t="s">
        <v>1832</v>
      </c>
      <c r="E631" t="s">
        <v>1833</v>
      </c>
      <c r="F631" t="str">
        <f>VLOOKUP(E631,Tabela2[#All],2,FALSE)</f>
        <v>FLANGE TAÇA</v>
      </c>
      <c r="G631" t="s">
        <v>1834</v>
      </c>
      <c r="H631" s="1">
        <v>9.0399999999999991</v>
      </c>
      <c r="I631" s="1">
        <v>9.0399999999999991</v>
      </c>
      <c r="J631" t="s">
        <v>46</v>
      </c>
      <c r="K631" s="1">
        <v>55.172414000000003</v>
      </c>
      <c r="L631" s="1">
        <v>1</v>
      </c>
      <c r="M631" s="1">
        <v>20.3</v>
      </c>
      <c r="N631" s="1">
        <v>32901</v>
      </c>
      <c r="O631" t="s">
        <v>534</v>
      </c>
      <c r="P631" t="s">
        <v>1828</v>
      </c>
      <c r="Q631" t="s">
        <v>49</v>
      </c>
      <c r="R631" t="s">
        <v>50</v>
      </c>
      <c r="S631" t="s">
        <v>50</v>
      </c>
      <c r="T631" s="1">
        <v>118.52168736</v>
      </c>
      <c r="U631" s="1">
        <v>81.585843499999996</v>
      </c>
      <c r="V631" s="1">
        <v>30.037800000000001</v>
      </c>
      <c r="W631" s="1">
        <v>10.7118576</v>
      </c>
      <c r="X631" t="s">
        <v>50</v>
      </c>
      <c r="Y631" s="1">
        <v>0.4</v>
      </c>
      <c r="Z631" s="1">
        <v>0.63</v>
      </c>
      <c r="AA631" s="1">
        <v>4.3357999999999999</v>
      </c>
      <c r="AB631" t="s">
        <v>50</v>
      </c>
      <c r="AC631" s="1">
        <v>2</v>
      </c>
      <c r="AD631" t="s">
        <v>50</v>
      </c>
      <c r="AE631" t="s">
        <v>50</v>
      </c>
      <c r="AF631" s="1">
        <v>0.79800000000000004</v>
      </c>
      <c r="AG631" t="s">
        <v>50</v>
      </c>
      <c r="AH631" t="s">
        <v>50</v>
      </c>
      <c r="AI631" t="s">
        <v>50</v>
      </c>
      <c r="AJ631" t="s">
        <v>50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t="s">
        <v>1833</v>
      </c>
      <c r="AQ631" s="1">
        <v>7768</v>
      </c>
      <c r="AR631" t="s">
        <v>51</v>
      </c>
    </row>
    <row r="632" spans="1:44">
      <c r="A632" s="1">
        <v>78378</v>
      </c>
      <c r="B632" s="1">
        <v>78365</v>
      </c>
      <c r="C632" s="1">
        <v>70913</v>
      </c>
      <c r="D632" t="s">
        <v>1832</v>
      </c>
      <c r="E632" t="s">
        <v>1833</v>
      </c>
      <c r="F632" t="str">
        <f>VLOOKUP(E632,Tabela2[#All],2,FALSE)</f>
        <v>FLANGE TAÇA</v>
      </c>
      <c r="G632" t="s">
        <v>1834</v>
      </c>
      <c r="H632" s="1">
        <v>9.0399999999999991</v>
      </c>
      <c r="I632" s="1">
        <v>9.0399999999999991</v>
      </c>
      <c r="J632" t="s">
        <v>46</v>
      </c>
      <c r="K632" s="1">
        <v>55.172414000000003</v>
      </c>
      <c r="L632" s="1">
        <v>1</v>
      </c>
      <c r="M632" s="1">
        <v>20.3</v>
      </c>
      <c r="N632" s="1">
        <v>32901</v>
      </c>
      <c r="O632" t="s">
        <v>534</v>
      </c>
      <c r="P632" t="s">
        <v>256</v>
      </c>
      <c r="Q632" t="s">
        <v>49</v>
      </c>
      <c r="R632" t="s">
        <v>50</v>
      </c>
      <c r="S632" t="s">
        <v>50</v>
      </c>
      <c r="T632" s="1">
        <v>118.52168736</v>
      </c>
      <c r="U632" s="1">
        <v>81.585843499999996</v>
      </c>
      <c r="V632" s="1">
        <v>30.037800000000001</v>
      </c>
      <c r="W632" s="1">
        <v>10.7118576</v>
      </c>
      <c r="X632" t="s">
        <v>50</v>
      </c>
      <c r="Y632" s="1">
        <v>0.4</v>
      </c>
      <c r="Z632" s="1">
        <v>0.63</v>
      </c>
      <c r="AA632" s="1">
        <v>4.3357999999999999</v>
      </c>
      <c r="AB632" t="s">
        <v>50</v>
      </c>
      <c r="AC632" s="1">
        <v>2</v>
      </c>
      <c r="AD632" t="s">
        <v>50</v>
      </c>
      <c r="AE632" t="s">
        <v>50</v>
      </c>
      <c r="AF632" s="1">
        <v>0.79800000000000004</v>
      </c>
      <c r="AG632" t="s">
        <v>50</v>
      </c>
      <c r="AH632" t="s">
        <v>50</v>
      </c>
      <c r="AI632" t="s">
        <v>50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t="s">
        <v>1833</v>
      </c>
      <c r="AQ632" s="1">
        <v>7768</v>
      </c>
      <c r="AR632" t="s">
        <v>51</v>
      </c>
    </row>
    <row r="633" spans="1:44">
      <c r="A633" s="1">
        <v>32792</v>
      </c>
      <c r="B633" s="1">
        <v>38132</v>
      </c>
      <c r="C633" s="1">
        <v>32130</v>
      </c>
      <c r="D633" t="s">
        <v>1835</v>
      </c>
      <c r="E633" t="s">
        <v>1836</v>
      </c>
      <c r="F633" t="str">
        <f>VLOOKUP(E633,Tabela2[#All],2,FALSE)</f>
        <v>FLANGE</v>
      </c>
      <c r="G633" t="s">
        <v>1837</v>
      </c>
      <c r="H633" s="1">
        <v>4.915</v>
      </c>
      <c r="I633" s="1">
        <v>4.915</v>
      </c>
      <c r="J633" t="s">
        <v>46</v>
      </c>
      <c r="K633" s="1">
        <v>53.865462000000001</v>
      </c>
      <c r="L633" s="1">
        <v>1</v>
      </c>
      <c r="M633" s="1">
        <v>9.9600000000000009</v>
      </c>
      <c r="N633" s="1">
        <v>32965</v>
      </c>
      <c r="O633" t="s">
        <v>1483</v>
      </c>
      <c r="P633" t="s">
        <v>1838</v>
      </c>
      <c r="Q633" t="s">
        <v>49</v>
      </c>
      <c r="R633" t="s">
        <v>50</v>
      </c>
      <c r="S633" s="1">
        <v>1.4530000000000001</v>
      </c>
      <c r="T633" s="1">
        <v>69.037113890000001</v>
      </c>
      <c r="U633" s="1">
        <v>48.113220900000002</v>
      </c>
      <c r="V633" s="1">
        <v>0</v>
      </c>
      <c r="W633" s="1">
        <v>5.8239801</v>
      </c>
      <c r="X633" t="s">
        <v>50</v>
      </c>
      <c r="Y633" s="1">
        <v>0.375</v>
      </c>
      <c r="Z633" s="1">
        <v>1.0908</v>
      </c>
      <c r="AA633" s="1">
        <v>1.1000000000000001</v>
      </c>
      <c r="AB633" t="s">
        <v>50</v>
      </c>
      <c r="AC633" s="1">
        <v>1.8460000000000001</v>
      </c>
      <c r="AD633" t="s">
        <v>50</v>
      </c>
      <c r="AE633" s="1">
        <v>0.5</v>
      </c>
      <c r="AF633" s="1">
        <v>0.81810000000000005</v>
      </c>
      <c r="AG633" t="s">
        <v>50</v>
      </c>
      <c r="AH633" t="s">
        <v>50</v>
      </c>
      <c r="AI633" t="s">
        <v>50</v>
      </c>
      <c r="AJ633" t="s">
        <v>50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t="s">
        <v>1836</v>
      </c>
      <c r="AQ633" s="1">
        <v>2114</v>
      </c>
      <c r="AR633" t="s">
        <v>51</v>
      </c>
    </row>
    <row r="634" spans="1:44">
      <c r="A634" s="1">
        <v>63898</v>
      </c>
      <c r="B634" s="1">
        <v>63908</v>
      </c>
      <c r="C634" s="1">
        <v>57873</v>
      </c>
      <c r="D634" t="s">
        <v>1839</v>
      </c>
      <c r="E634" t="s">
        <v>1840</v>
      </c>
      <c r="F634" t="str">
        <f>VLOOKUP(E634,Tabela2[#All],2,FALSE)</f>
        <v>MANCAL</v>
      </c>
      <c r="G634" t="s">
        <v>1841</v>
      </c>
      <c r="H634" s="1">
        <v>1.9850000000000001</v>
      </c>
      <c r="I634" s="1">
        <v>1.9850000000000001</v>
      </c>
      <c r="J634" t="s">
        <v>46</v>
      </c>
      <c r="K634" s="1">
        <v>66.158536999999995</v>
      </c>
      <c r="L634" s="1">
        <v>5</v>
      </c>
      <c r="M634" s="1">
        <v>16.399999999999999</v>
      </c>
      <c r="N634" s="1">
        <v>32963</v>
      </c>
      <c r="O634" t="s">
        <v>436</v>
      </c>
      <c r="P634" t="s">
        <v>1014</v>
      </c>
      <c r="Q634" t="s">
        <v>350</v>
      </c>
      <c r="R634" t="s">
        <v>50</v>
      </c>
      <c r="S634" t="s">
        <v>50</v>
      </c>
      <c r="T634" s="1">
        <v>13.52974596</v>
      </c>
      <c r="U634" s="1">
        <v>12.940402430000001</v>
      </c>
      <c r="V634" s="1">
        <v>0</v>
      </c>
      <c r="W634" s="1">
        <v>0</v>
      </c>
      <c r="X634" t="s">
        <v>50</v>
      </c>
      <c r="Y634" s="1">
        <v>0.06</v>
      </c>
      <c r="Z634" t="s">
        <v>50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s="1">
        <v>0.15</v>
      </c>
      <c r="AG634" t="s">
        <v>50</v>
      </c>
      <c r="AH634" t="s">
        <v>50</v>
      </c>
      <c r="AI634" t="s">
        <v>50</v>
      </c>
      <c r="AJ634" t="s">
        <v>50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t="s">
        <v>1842</v>
      </c>
      <c r="AQ634" s="1">
        <v>4807</v>
      </c>
      <c r="AR634" t="s">
        <v>51</v>
      </c>
    </row>
    <row r="635" spans="1:44">
      <c r="A635" s="1">
        <v>63904</v>
      </c>
      <c r="B635" s="1">
        <v>63910</v>
      </c>
      <c r="C635" s="1">
        <v>57875</v>
      </c>
      <c r="D635" t="s">
        <v>1843</v>
      </c>
      <c r="E635" t="s">
        <v>1844</v>
      </c>
      <c r="F635" t="str">
        <f>VLOOKUP(E635,Tabela2[#All],2,FALSE)</f>
        <v>SEM FAMÍLIA</v>
      </c>
      <c r="G635" t="s">
        <v>1845</v>
      </c>
      <c r="H635" s="1">
        <v>0.27</v>
      </c>
      <c r="I635" s="1">
        <v>0.27</v>
      </c>
      <c r="J635" t="s">
        <v>46</v>
      </c>
      <c r="K635" s="1">
        <v>43.845796999999997</v>
      </c>
      <c r="L635" s="1">
        <v>16</v>
      </c>
      <c r="M635" s="1">
        <v>10.765000000000001</v>
      </c>
      <c r="N635" s="1">
        <v>32963</v>
      </c>
      <c r="O635" t="s">
        <v>436</v>
      </c>
      <c r="P635" t="s">
        <v>1014</v>
      </c>
      <c r="Q635" t="s">
        <v>350</v>
      </c>
      <c r="R635" t="s">
        <v>50</v>
      </c>
      <c r="S635" t="s">
        <v>50</v>
      </c>
      <c r="T635" s="1">
        <v>4.5378843299999998</v>
      </c>
      <c r="U635" s="1">
        <v>4.2525744899999998</v>
      </c>
      <c r="V635" s="1">
        <v>0</v>
      </c>
      <c r="W635" s="1">
        <v>0</v>
      </c>
      <c r="X635" t="s">
        <v>50</v>
      </c>
      <c r="Y635" s="1">
        <v>0.02</v>
      </c>
      <c r="Z635" t="s">
        <v>50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s="1">
        <v>4.6800000000000001E-2</v>
      </c>
      <c r="AG635" t="s">
        <v>50</v>
      </c>
      <c r="AH635" t="s">
        <v>50</v>
      </c>
      <c r="AI635" t="s">
        <v>50</v>
      </c>
      <c r="AJ635" t="s">
        <v>50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t="s">
        <v>1846</v>
      </c>
      <c r="AQ635" s="1">
        <v>4809</v>
      </c>
      <c r="AR635" t="s">
        <v>51</v>
      </c>
    </row>
    <row r="636" spans="1:44">
      <c r="A636" s="1">
        <v>43201</v>
      </c>
      <c r="B636" s="1">
        <v>43203</v>
      </c>
      <c r="C636" s="1">
        <v>38306</v>
      </c>
      <c r="D636" t="s">
        <v>1847</v>
      </c>
      <c r="E636" t="s">
        <v>1848</v>
      </c>
      <c r="F636" t="str">
        <f>VLOOKUP(E636,Tabela2[#All],2,FALSE)</f>
        <v>SEM FAMÍLIA</v>
      </c>
      <c r="G636" t="s">
        <v>1849</v>
      </c>
      <c r="H636" s="1">
        <v>0.36499999999999999</v>
      </c>
      <c r="I636" s="1">
        <v>0.36499999999999999</v>
      </c>
      <c r="J636" t="s">
        <v>46</v>
      </c>
      <c r="K636" s="1">
        <v>50.554017000000002</v>
      </c>
      <c r="L636" s="1">
        <v>10</v>
      </c>
      <c r="M636" s="1">
        <v>7.22</v>
      </c>
      <c r="N636" s="1">
        <v>32958</v>
      </c>
      <c r="O636" t="s">
        <v>81</v>
      </c>
      <c r="P636" t="s">
        <v>1850</v>
      </c>
      <c r="Q636" t="s">
        <v>60</v>
      </c>
      <c r="R636" t="s">
        <v>50</v>
      </c>
      <c r="S636" s="1">
        <v>0.17</v>
      </c>
      <c r="T636" s="1">
        <v>7.0125060399999999</v>
      </c>
      <c r="U636" s="1">
        <v>4.0666206100000002</v>
      </c>
      <c r="V636" s="1">
        <v>0</v>
      </c>
      <c r="W636" s="1">
        <v>0</v>
      </c>
      <c r="X636" t="s">
        <v>50</v>
      </c>
      <c r="Y636" s="1">
        <v>1.66E-2</v>
      </c>
      <c r="Z636" t="s">
        <v>50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s="1">
        <v>8.1900000000000001E-2</v>
      </c>
      <c r="AG636" t="s">
        <v>50</v>
      </c>
      <c r="AH636" t="s">
        <v>50</v>
      </c>
      <c r="AI636" t="s">
        <v>50</v>
      </c>
      <c r="AJ636" t="s">
        <v>50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t="s">
        <v>1848</v>
      </c>
      <c r="AQ636" s="1">
        <v>2164</v>
      </c>
      <c r="AR636" t="s">
        <v>51</v>
      </c>
    </row>
    <row r="637" spans="1:44">
      <c r="A637" s="1">
        <v>54410</v>
      </c>
      <c r="B637" s="1">
        <v>54481</v>
      </c>
      <c r="C637" s="1">
        <v>48721</v>
      </c>
      <c r="D637" t="s">
        <v>1851</v>
      </c>
      <c r="E637" t="s">
        <v>1852</v>
      </c>
      <c r="F637" t="str">
        <f>VLOOKUP(E637,Tabela2[#All],2,FALSE)</f>
        <v>TAMPA</v>
      </c>
      <c r="G637" t="s">
        <v>1853</v>
      </c>
      <c r="H637" s="1">
        <v>4.21</v>
      </c>
      <c r="I637" s="1">
        <v>4.21</v>
      </c>
      <c r="J637" t="s">
        <v>46</v>
      </c>
      <c r="K637" s="1">
        <v>55.641025999999997</v>
      </c>
      <c r="L637" s="1">
        <v>1</v>
      </c>
      <c r="M637" s="1">
        <v>7.8</v>
      </c>
      <c r="N637" s="1">
        <v>33009</v>
      </c>
      <c r="O637" t="s">
        <v>74</v>
      </c>
      <c r="P637" t="s">
        <v>59</v>
      </c>
      <c r="Q637" t="s">
        <v>60</v>
      </c>
      <c r="R637" t="s">
        <v>50</v>
      </c>
      <c r="S637" t="s">
        <v>50</v>
      </c>
      <c r="T637" s="1">
        <v>37.768547339999998</v>
      </c>
      <c r="U637" s="1">
        <v>35.078987189999999</v>
      </c>
      <c r="V637" s="1">
        <v>12.014099999999999</v>
      </c>
      <c r="W637" s="1">
        <v>0</v>
      </c>
      <c r="X637" t="s">
        <v>50</v>
      </c>
      <c r="Y637" s="1">
        <v>0.03</v>
      </c>
      <c r="Z637" t="s">
        <v>50</v>
      </c>
      <c r="AA637" t="s">
        <v>50</v>
      </c>
      <c r="AB637" t="s">
        <v>50</v>
      </c>
      <c r="AC637" t="s">
        <v>50</v>
      </c>
      <c r="AD637" t="s">
        <v>50</v>
      </c>
      <c r="AE637" s="1">
        <v>0.58819999999999995</v>
      </c>
      <c r="AF637" s="1">
        <v>0.79800000000000004</v>
      </c>
      <c r="AG637" t="s">
        <v>50</v>
      </c>
      <c r="AH637" t="s">
        <v>50</v>
      </c>
      <c r="AI637" t="s">
        <v>50</v>
      </c>
      <c r="AJ637" t="s">
        <v>50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t="s">
        <v>1852</v>
      </c>
      <c r="AQ637" s="1">
        <v>3532</v>
      </c>
      <c r="AR637" t="s">
        <v>51</v>
      </c>
    </row>
    <row r="638" spans="1:44">
      <c r="A638" s="1">
        <v>54552</v>
      </c>
      <c r="B638" s="1">
        <v>54581</v>
      </c>
      <c r="C638" s="1">
        <v>48888</v>
      </c>
      <c r="D638" t="s">
        <v>1854</v>
      </c>
      <c r="E638" t="s">
        <v>1855</v>
      </c>
      <c r="F638" t="str">
        <f>VLOOKUP(E638,Tabela2[#All],2,FALSE)</f>
        <v>POLIA</v>
      </c>
      <c r="G638" t="s">
        <v>1856</v>
      </c>
      <c r="H638" s="1">
        <v>4.9400000000000004</v>
      </c>
      <c r="I638" s="1">
        <v>4.9400000000000004</v>
      </c>
      <c r="J638" t="s">
        <v>46</v>
      </c>
      <c r="K638" s="1">
        <v>60.024301000000001</v>
      </c>
      <c r="L638" s="1">
        <v>2</v>
      </c>
      <c r="M638" s="1">
        <v>16.46</v>
      </c>
      <c r="N638" s="1">
        <v>33009</v>
      </c>
      <c r="O638" t="s">
        <v>74</v>
      </c>
      <c r="P638" t="s">
        <v>59</v>
      </c>
      <c r="Q638" t="s">
        <v>60</v>
      </c>
      <c r="R638" t="s">
        <v>50</v>
      </c>
      <c r="S638" t="s">
        <v>50</v>
      </c>
      <c r="T638" s="1">
        <v>33.575244570000002</v>
      </c>
      <c r="U638" s="1">
        <v>30.977762689999999</v>
      </c>
      <c r="V638" s="1">
        <v>0</v>
      </c>
      <c r="W638" s="1">
        <v>0</v>
      </c>
      <c r="X638" t="s">
        <v>50</v>
      </c>
      <c r="Y638" s="1">
        <v>3.3329999999999999E-2</v>
      </c>
      <c r="Z638" t="s">
        <v>50</v>
      </c>
      <c r="AA638" t="s">
        <v>50</v>
      </c>
      <c r="AB638" t="s">
        <v>50</v>
      </c>
      <c r="AC638" t="s">
        <v>50</v>
      </c>
      <c r="AD638" t="s">
        <v>50</v>
      </c>
      <c r="AE638" s="1">
        <v>0.72289999999999999</v>
      </c>
      <c r="AF638" s="1">
        <v>0.39900000000000002</v>
      </c>
      <c r="AG638" t="s">
        <v>50</v>
      </c>
      <c r="AH638" t="s">
        <v>50</v>
      </c>
      <c r="AI638" t="s">
        <v>50</v>
      </c>
      <c r="AJ638" t="s">
        <v>50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t="s">
        <v>1855</v>
      </c>
      <c r="AQ638" s="1">
        <v>3546</v>
      </c>
      <c r="AR638" t="s">
        <v>51</v>
      </c>
    </row>
    <row r="639" spans="1:44">
      <c r="A639" s="1">
        <v>54392</v>
      </c>
      <c r="B639" s="1">
        <v>54483</v>
      </c>
      <c r="C639" s="1">
        <v>48702</v>
      </c>
      <c r="D639" t="s">
        <v>1857</v>
      </c>
      <c r="E639" t="s">
        <v>1858</v>
      </c>
      <c r="F639" t="str">
        <f>VLOOKUP(E639,Tabela2[#All],2,FALSE)</f>
        <v>MANCAL</v>
      </c>
      <c r="G639" t="s">
        <v>1859</v>
      </c>
      <c r="H639" s="1">
        <v>1.1000000000000001</v>
      </c>
      <c r="I639" s="1">
        <v>1.1000000000000001</v>
      </c>
      <c r="J639" t="s">
        <v>46</v>
      </c>
      <c r="K639" s="1">
        <v>57.142856999999999</v>
      </c>
      <c r="L639" s="1">
        <v>4</v>
      </c>
      <c r="M639" s="1">
        <v>7.49</v>
      </c>
      <c r="N639" s="1">
        <v>32900</v>
      </c>
      <c r="O639" t="s">
        <v>47</v>
      </c>
      <c r="P639" t="s">
        <v>59</v>
      </c>
      <c r="Q639" t="s">
        <v>60</v>
      </c>
      <c r="R639" t="s">
        <v>50</v>
      </c>
      <c r="S639" t="s">
        <v>50</v>
      </c>
      <c r="T639" s="1">
        <v>16.191371350000001</v>
      </c>
      <c r="U639" s="1">
        <v>11.965293340000001</v>
      </c>
      <c r="V639" s="1">
        <v>0</v>
      </c>
      <c r="W639" s="1">
        <v>0</v>
      </c>
      <c r="X639" t="s">
        <v>50</v>
      </c>
      <c r="Y639" s="1">
        <v>0.5</v>
      </c>
      <c r="Z639" t="s">
        <v>50</v>
      </c>
      <c r="AA639" t="s">
        <v>50</v>
      </c>
      <c r="AB639" t="s">
        <v>50</v>
      </c>
      <c r="AC639" t="s">
        <v>50</v>
      </c>
      <c r="AD639" t="s">
        <v>50</v>
      </c>
      <c r="AE639" s="1">
        <v>1</v>
      </c>
      <c r="AF639" s="1">
        <v>0.20452500000000001</v>
      </c>
      <c r="AG639" t="s">
        <v>50</v>
      </c>
      <c r="AH639" t="s">
        <v>50</v>
      </c>
      <c r="AI639" t="s">
        <v>50</v>
      </c>
      <c r="AJ639" t="s">
        <v>50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t="s">
        <v>1858</v>
      </c>
      <c r="AQ639" s="1">
        <v>3539</v>
      </c>
      <c r="AR639" t="s">
        <v>51</v>
      </c>
    </row>
    <row r="640" spans="1:44">
      <c r="A640" s="1">
        <v>54554</v>
      </c>
      <c r="B640" s="1">
        <v>54556</v>
      </c>
      <c r="C640" s="1">
        <v>48855</v>
      </c>
      <c r="D640" t="s">
        <v>1860</v>
      </c>
      <c r="E640" t="s">
        <v>1861</v>
      </c>
      <c r="F640" t="str">
        <f>VLOOKUP(E640,Tabela2[#All],2,FALSE)</f>
        <v>POLIA</v>
      </c>
      <c r="G640" t="s">
        <v>1862</v>
      </c>
      <c r="H640" s="1">
        <v>3.4</v>
      </c>
      <c r="I640" s="1">
        <v>3.4</v>
      </c>
      <c r="J640" t="s">
        <v>46</v>
      </c>
      <c r="K640" s="1">
        <v>54.545454999999997</v>
      </c>
      <c r="L640" s="1">
        <v>2</v>
      </c>
      <c r="M640" s="1">
        <v>12.87</v>
      </c>
      <c r="N640" s="1">
        <v>33009</v>
      </c>
      <c r="O640" t="s">
        <v>74</v>
      </c>
      <c r="P640" t="s">
        <v>59</v>
      </c>
      <c r="Q640" t="s">
        <v>60</v>
      </c>
      <c r="R640" t="s">
        <v>50</v>
      </c>
      <c r="S640" t="s">
        <v>50</v>
      </c>
      <c r="T640" s="1">
        <v>27.637586030000001</v>
      </c>
      <c r="U640" s="1">
        <v>23.68300764</v>
      </c>
      <c r="V640" s="1">
        <v>0</v>
      </c>
      <c r="W640" s="1">
        <v>0</v>
      </c>
      <c r="X640" t="s">
        <v>50</v>
      </c>
      <c r="Y640" s="1">
        <v>0.2</v>
      </c>
      <c r="Z640" t="s">
        <v>50</v>
      </c>
      <c r="AA640" t="s">
        <v>50</v>
      </c>
      <c r="AB640" t="s">
        <v>50</v>
      </c>
      <c r="AC640" t="s">
        <v>50</v>
      </c>
      <c r="AD640" t="s">
        <v>50</v>
      </c>
      <c r="AE640" s="1">
        <v>1</v>
      </c>
      <c r="AF640" s="1">
        <v>0.375</v>
      </c>
      <c r="AG640" t="s">
        <v>50</v>
      </c>
      <c r="AH640" t="s">
        <v>50</v>
      </c>
      <c r="AI640" t="s">
        <v>50</v>
      </c>
      <c r="AJ640" t="s">
        <v>50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t="s">
        <v>1861</v>
      </c>
      <c r="AQ640" s="1">
        <v>3507</v>
      </c>
      <c r="AR640" t="s">
        <v>51</v>
      </c>
    </row>
    <row r="641" spans="1:44">
      <c r="A641" s="1">
        <v>54597</v>
      </c>
      <c r="B641" s="1">
        <v>54604</v>
      </c>
      <c r="C641" s="1">
        <v>48906</v>
      </c>
      <c r="D641" t="s">
        <v>1863</v>
      </c>
      <c r="E641" t="s">
        <v>1864</v>
      </c>
      <c r="F641" t="str">
        <f>VLOOKUP(E641,Tabela2[#All],2,FALSE)</f>
        <v>TAMPA</v>
      </c>
      <c r="G641" t="s">
        <v>1865</v>
      </c>
      <c r="H641" s="1">
        <v>4.75</v>
      </c>
      <c r="I641" s="1">
        <v>4.75</v>
      </c>
      <c r="J641" t="s">
        <v>46</v>
      </c>
      <c r="K641" s="1">
        <v>62.032786999999999</v>
      </c>
      <c r="L641" s="1">
        <v>2</v>
      </c>
      <c r="M641" s="1">
        <v>15.25</v>
      </c>
      <c r="N641" s="1">
        <v>32958</v>
      </c>
      <c r="O641" t="s">
        <v>81</v>
      </c>
      <c r="P641" t="s">
        <v>59</v>
      </c>
      <c r="Q641" t="s">
        <v>60</v>
      </c>
      <c r="R641" t="s">
        <v>50</v>
      </c>
      <c r="S641" t="s">
        <v>50</v>
      </c>
      <c r="T641" s="1">
        <v>31.72042338</v>
      </c>
      <c r="U641" s="1">
        <v>27.46994965</v>
      </c>
      <c r="V641" s="1">
        <v>0</v>
      </c>
      <c r="W641" s="1">
        <v>0</v>
      </c>
      <c r="X641" t="s">
        <v>50</v>
      </c>
      <c r="Y641" s="1">
        <v>0.3</v>
      </c>
      <c r="Z641" t="s">
        <v>50</v>
      </c>
      <c r="AA641" t="s">
        <v>50</v>
      </c>
      <c r="AB641" t="s">
        <v>50</v>
      </c>
      <c r="AC641" t="s">
        <v>50</v>
      </c>
      <c r="AD641" t="s">
        <v>50</v>
      </c>
      <c r="AE641" s="1">
        <v>1</v>
      </c>
      <c r="AF641" s="1">
        <v>0.39900000000000002</v>
      </c>
      <c r="AG641" t="s">
        <v>50</v>
      </c>
      <c r="AH641" t="s">
        <v>50</v>
      </c>
      <c r="AI641" t="s">
        <v>50</v>
      </c>
      <c r="AJ641" t="s">
        <v>50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t="s">
        <v>1864</v>
      </c>
      <c r="AQ641" s="1">
        <v>3536</v>
      </c>
      <c r="AR641" t="s">
        <v>51</v>
      </c>
    </row>
    <row r="642" spans="1:44">
      <c r="A642" s="1">
        <v>32159</v>
      </c>
      <c r="B642" s="1">
        <v>35690</v>
      </c>
      <c r="C642" s="1">
        <v>31487</v>
      </c>
      <c r="D642" t="s">
        <v>1866</v>
      </c>
      <c r="E642" t="s">
        <v>1867</v>
      </c>
      <c r="F642" t="str">
        <f>VLOOKUP(E642,Tabela2[#All],2,FALSE)</f>
        <v>ESTRELA</v>
      </c>
      <c r="G642" t="s">
        <v>1868</v>
      </c>
      <c r="H642" s="1">
        <v>4.01</v>
      </c>
      <c r="I642" s="1">
        <v>4.01</v>
      </c>
      <c r="J642" t="s">
        <v>46</v>
      </c>
      <c r="K642" s="1">
        <v>57.588076000000001</v>
      </c>
      <c r="L642" s="1">
        <v>2</v>
      </c>
      <c r="M642" s="1">
        <v>14.76</v>
      </c>
      <c r="N642" s="1">
        <v>32958</v>
      </c>
      <c r="O642" t="s">
        <v>81</v>
      </c>
      <c r="P642" t="s">
        <v>611</v>
      </c>
      <c r="Q642" t="s">
        <v>49</v>
      </c>
      <c r="R642" t="s">
        <v>50</v>
      </c>
      <c r="S642" t="s">
        <v>50</v>
      </c>
      <c r="T642" s="1">
        <v>38.777799090000002</v>
      </c>
      <c r="U642" s="1">
        <v>26.546619750000001</v>
      </c>
      <c r="V642" s="1">
        <v>0</v>
      </c>
      <c r="W642" s="1">
        <v>4.7516094000000004</v>
      </c>
      <c r="X642" t="s">
        <v>50</v>
      </c>
      <c r="Y642" s="1">
        <v>0.37</v>
      </c>
      <c r="Z642" s="1">
        <v>0.9486</v>
      </c>
      <c r="AA642" t="s">
        <v>50</v>
      </c>
      <c r="AB642" t="s">
        <v>50</v>
      </c>
      <c r="AC642" s="1">
        <v>0.65559999999999996</v>
      </c>
      <c r="AD642" t="s">
        <v>50</v>
      </c>
      <c r="AE642" t="s">
        <v>50</v>
      </c>
      <c r="AF642" s="1">
        <v>0.375</v>
      </c>
      <c r="AG642" t="s">
        <v>50</v>
      </c>
      <c r="AH642" t="s">
        <v>50</v>
      </c>
      <c r="AI642" t="s">
        <v>50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t="s">
        <v>1867</v>
      </c>
      <c r="AQ642" s="1">
        <v>1520</v>
      </c>
      <c r="AR642" t="s">
        <v>51</v>
      </c>
    </row>
    <row r="643" spans="1:44">
      <c r="A643" s="1">
        <v>113987</v>
      </c>
      <c r="B643" s="1">
        <v>32373</v>
      </c>
      <c r="C643" s="1">
        <v>31706</v>
      </c>
      <c r="D643" t="s">
        <v>1869</v>
      </c>
      <c r="E643" t="s">
        <v>1050</v>
      </c>
      <c r="F643" t="str">
        <f>VLOOKUP(E643,Tabela2[#All],2,FALSE)</f>
        <v>Válvula Nível 4</v>
      </c>
      <c r="G643" t="s">
        <v>450</v>
      </c>
      <c r="H643" s="1">
        <v>3.2360000000000002</v>
      </c>
      <c r="I643" s="1">
        <v>3.2360000000000002</v>
      </c>
      <c r="J643" t="s">
        <v>65</v>
      </c>
      <c r="K643" s="1">
        <v>78.289654999999996</v>
      </c>
      <c r="L643" s="1">
        <v>3.3</v>
      </c>
      <c r="M643" s="1">
        <v>14.5</v>
      </c>
      <c r="N643" s="1">
        <v>36441</v>
      </c>
      <c r="O643" t="s">
        <v>66</v>
      </c>
      <c r="P643" t="s">
        <v>1870</v>
      </c>
      <c r="Q643" t="s">
        <v>68</v>
      </c>
      <c r="R643" s="1">
        <v>0.05</v>
      </c>
      <c r="S643" s="1">
        <v>0.37</v>
      </c>
      <c r="T643" s="1">
        <v>33.852689890000001</v>
      </c>
      <c r="U643" s="1">
        <v>33.203316340000001</v>
      </c>
      <c r="V643" s="1">
        <v>0</v>
      </c>
      <c r="W643" s="1">
        <v>0</v>
      </c>
      <c r="X643" t="s">
        <v>50</v>
      </c>
      <c r="Y643" t="s">
        <v>50</v>
      </c>
      <c r="Z643" t="s">
        <v>50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s="1">
        <v>5.3999999999999999E-2</v>
      </c>
      <c r="AH643" s="1">
        <v>0.66659999999999997</v>
      </c>
      <c r="AI643" s="1">
        <v>8.8400000000000006E-2</v>
      </c>
      <c r="AJ643" t="s">
        <v>50</v>
      </c>
      <c r="AK643" t="s">
        <v>50</v>
      </c>
      <c r="AL643" t="s">
        <v>50</v>
      </c>
      <c r="AM643" t="s">
        <v>50</v>
      </c>
      <c r="AN643" s="1">
        <v>3</v>
      </c>
      <c r="AO643" t="s">
        <v>50</v>
      </c>
      <c r="AP643" t="s">
        <v>1051</v>
      </c>
      <c r="AQ643" s="1">
        <v>1938</v>
      </c>
      <c r="AR643" t="s">
        <v>70</v>
      </c>
    </row>
    <row r="644" spans="1:44">
      <c r="A644" s="1">
        <v>62477</v>
      </c>
      <c r="B644" s="1">
        <v>62478</v>
      </c>
      <c r="C644" s="1">
        <v>56530</v>
      </c>
      <c r="D644" t="s">
        <v>1871</v>
      </c>
      <c r="E644" t="s">
        <v>1872</v>
      </c>
      <c r="F644" t="str">
        <f>VLOOKUP(E644,Tabela2[#All],2,FALSE)</f>
        <v>Válvula Nível 3</v>
      </c>
      <c r="G644" t="s">
        <v>1873</v>
      </c>
      <c r="H644" s="1">
        <v>2.5</v>
      </c>
      <c r="I644" s="1">
        <v>2.5</v>
      </c>
      <c r="J644" t="s">
        <v>65</v>
      </c>
      <c r="K644" s="1">
        <v>76.925436000000005</v>
      </c>
      <c r="L644" s="1">
        <v>3.3333330000000001</v>
      </c>
      <c r="M644" s="1">
        <v>10.833</v>
      </c>
      <c r="N644" s="1">
        <v>36441</v>
      </c>
      <c r="O644" t="s">
        <v>66</v>
      </c>
      <c r="P644" t="s">
        <v>410</v>
      </c>
      <c r="Q644" t="s">
        <v>68</v>
      </c>
      <c r="R644" s="1">
        <v>0.20200000000000001</v>
      </c>
      <c r="S644" t="s">
        <v>50</v>
      </c>
      <c r="T644" s="1">
        <v>38.32262076</v>
      </c>
      <c r="U644" s="1">
        <v>37.686910930000003</v>
      </c>
      <c r="V644" s="1">
        <v>0</v>
      </c>
      <c r="W644" s="1">
        <v>0</v>
      </c>
      <c r="X644" t="s">
        <v>50</v>
      </c>
      <c r="Y644" t="s">
        <v>50</v>
      </c>
      <c r="Z644" t="s">
        <v>50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s="1">
        <v>0.2</v>
      </c>
      <c r="AH644" s="1">
        <v>0.82</v>
      </c>
      <c r="AI644" s="1">
        <v>0.06</v>
      </c>
      <c r="AJ644" t="s">
        <v>50</v>
      </c>
      <c r="AK644" t="s">
        <v>50</v>
      </c>
      <c r="AL644" t="s">
        <v>50</v>
      </c>
      <c r="AM644" t="s">
        <v>50</v>
      </c>
      <c r="AN644" s="1">
        <v>2.7</v>
      </c>
      <c r="AO644" t="s">
        <v>50</v>
      </c>
      <c r="AP644" t="s">
        <v>1874</v>
      </c>
      <c r="AQ644" s="1">
        <v>4727</v>
      </c>
      <c r="AR644" t="s">
        <v>70</v>
      </c>
    </row>
    <row r="645" spans="1:44">
      <c r="A645" s="1">
        <v>62503</v>
      </c>
      <c r="B645" s="1">
        <v>62504</v>
      </c>
      <c r="C645" s="1">
        <v>56556</v>
      </c>
      <c r="D645" t="s">
        <v>1875</v>
      </c>
      <c r="E645" t="s">
        <v>1876</v>
      </c>
      <c r="F645" t="str">
        <f>VLOOKUP(E645,Tabela2[#All],2,FALSE)</f>
        <v>Válvula Nível 3</v>
      </c>
      <c r="G645" t="s">
        <v>1877</v>
      </c>
      <c r="H645" s="1">
        <v>1.65</v>
      </c>
      <c r="I645" s="1">
        <v>1.65</v>
      </c>
      <c r="J645" t="s">
        <v>65</v>
      </c>
      <c r="K645" s="1">
        <v>73.336039999999997</v>
      </c>
      <c r="L645" s="1">
        <v>3.4285709999999998</v>
      </c>
      <c r="M645" s="1">
        <v>7.8570000000000002</v>
      </c>
      <c r="N645" s="1">
        <v>36441</v>
      </c>
      <c r="O645" t="s">
        <v>66</v>
      </c>
      <c r="P645" t="s">
        <v>410</v>
      </c>
      <c r="Q645" t="s">
        <v>68</v>
      </c>
      <c r="R645" s="1">
        <v>0.127</v>
      </c>
      <c r="S645" t="s">
        <v>50</v>
      </c>
      <c r="T645" s="1">
        <v>27.805265550000001</v>
      </c>
      <c r="U645" s="1">
        <v>27.614552750000001</v>
      </c>
      <c r="V645" s="1">
        <v>0</v>
      </c>
      <c r="W645" s="1">
        <v>0</v>
      </c>
      <c r="X645" t="s">
        <v>50</v>
      </c>
      <c r="Y645" t="s">
        <v>50</v>
      </c>
      <c r="Z645" t="s">
        <v>50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s="1">
        <v>0.15</v>
      </c>
      <c r="AH645" s="1">
        <v>0.8</v>
      </c>
      <c r="AI645" s="1">
        <v>0.06</v>
      </c>
      <c r="AJ645" t="s">
        <v>50</v>
      </c>
      <c r="AK645" t="s">
        <v>50</v>
      </c>
      <c r="AL645" t="s">
        <v>50</v>
      </c>
      <c r="AM645" t="s">
        <v>50</v>
      </c>
      <c r="AN645" s="1">
        <v>2.5499999999999998</v>
      </c>
      <c r="AO645" t="s">
        <v>50</v>
      </c>
      <c r="AP645" t="s">
        <v>1878</v>
      </c>
      <c r="AQ645" s="1">
        <v>4787</v>
      </c>
      <c r="AR645" t="s">
        <v>70</v>
      </c>
    </row>
    <row r="646" spans="1:44">
      <c r="A646" s="1">
        <v>62479</v>
      </c>
      <c r="B646" s="1">
        <v>62498</v>
      </c>
      <c r="C646" s="1">
        <v>56550</v>
      </c>
      <c r="D646" t="s">
        <v>1879</v>
      </c>
      <c r="E646" t="s">
        <v>409</v>
      </c>
      <c r="F646" t="str">
        <f>VLOOKUP(E646,Tabela2[#All],2,FALSE)</f>
        <v>Válvula Nível 3</v>
      </c>
      <c r="G646" t="s">
        <v>411</v>
      </c>
      <c r="H646" s="1">
        <v>6.57</v>
      </c>
      <c r="I646" s="1">
        <v>6.57</v>
      </c>
      <c r="J646" t="s">
        <v>65</v>
      </c>
      <c r="K646" s="1">
        <v>75.807692000000003</v>
      </c>
      <c r="L646" s="1">
        <v>1.5</v>
      </c>
      <c r="M646" s="1">
        <v>13</v>
      </c>
      <c r="N646" s="1">
        <v>36446</v>
      </c>
      <c r="O646" t="s">
        <v>119</v>
      </c>
      <c r="P646" t="s">
        <v>410</v>
      </c>
      <c r="Q646" t="s">
        <v>68</v>
      </c>
      <c r="R646" s="1">
        <v>0.39</v>
      </c>
      <c r="S646" t="s">
        <v>50</v>
      </c>
      <c r="T646" s="1">
        <v>69.999490899999998</v>
      </c>
      <c r="U646" s="1">
        <v>68.728072760000003</v>
      </c>
      <c r="V646" s="1">
        <v>0</v>
      </c>
      <c r="W646" s="1">
        <v>0</v>
      </c>
      <c r="X646" t="s">
        <v>50</v>
      </c>
      <c r="Y646" t="s">
        <v>50</v>
      </c>
      <c r="Z646" t="s">
        <v>50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s="1">
        <v>0.5</v>
      </c>
      <c r="AH646" s="1">
        <v>1.6439999999999999</v>
      </c>
      <c r="AI646" s="1">
        <v>0.192</v>
      </c>
      <c r="AJ646" t="s">
        <v>50</v>
      </c>
      <c r="AK646" t="s">
        <v>50</v>
      </c>
      <c r="AL646" t="s">
        <v>50</v>
      </c>
      <c r="AM646" t="s">
        <v>50</v>
      </c>
      <c r="AN646" s="1">
        <v>5.4</v>
      </c>
      <c r="AO646" t="s">
        <v>50</v>
      </c>
      <c r="AP646" t="s">
        <v>412</v>
      </c>
      <c r="AQ646" s="1">
        <v>4748</v>
      </c>
      <c r="AR646" t="s">
        <v>70</v>
      </c>
    </row>
    <row r="647" spans="1:44">
      <c r="A647" s="1">
        <v>45322</v>
      </c>
      <c r="B647" s="1">
        <v>45324</v>
      </c>
      <c r="C647" s="1">
        <v>40307</v>
      </c>
      <c r="D647" t="s">
        <v>1880</v>
      </c>
      <c r="E647" t="s">
        <v>1881</v>
      </c>
      <c r="F647" t="str">
        <f>VLOOKUP(E647,Tabela2[#All],2,FALSE)</f>
        <v>Válvula Nível 3</v>
      </c>
      <c r="G647" t="s">
        <v>1882</v>
      </c>
      <c r="H647" s="1">
        <v>1.45</v>
      </c>
      <c r="I647" s="1">
        <v>1.45</v>
      </c>
      <c r="J647" t="s">
        <v>65</v>
      </c>
      <c r="K647" s="1">
        <v>65.512889000000001</v>
      </c>
      <c r="L647" s="1">
        <v>3.4279999999999999</v>
      </c>
      <c r="M647" s="1">
        <v>9</v>
      </c>
      <c r="N647" s="1">
        <v>89564</v>
      </c>
      <c r="O647" t="s">
        <v>1883</v>
      </c>
      <c r="P647" t="s">
        <v>890</v>
      </c>
      <c r="Q647" t="s">
        <v>68</v>
      </c>
      <c r="R647" s="1">
        <v>0.14000000000000001</v>
      </c>
      <c r="S647" t="s">
        <v>50</v>
      </c>
      <c r="T647" s="1">
        <v>28.057548959999998</v>
      </c>
      <c r="U647" s="1">
        <v>28.004553229999999</v>
      </c>
      <c r="V647" s="1">
        <v>0</v>
      </c>
      <c r="W647" s="1">
        <v>0</v>
      </c>
      <c r="X647" t="s">
        <v>50</v>
      </c>
      <c r="Y647" t="s">
        <v>50</v>
      </c>
      <c r="Z647" t="s">
        <v>50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s="1">
        <v>0.25</v>
      </c>
      <c r="AH647" s="1">
        <v>0.96</v>
      </c>
      <c r="AI647" s="1">
        <v>4.9000000000000002E-2</v>
      </c>
      <c r="AJ647" t="s">
        <v>50</v>
      </c>
      <c r="AK647" t="s">
        <v>50</v>
      </c>
      <c r="AL647" t="s">
        <v>50</v>
      </c>
      <c r="AM647" t="s">
        <v>50</v>
      </c>
      <c r="AN647" s="1">
        <v>2.76</v>
      </c>
      <c r="AO647" t="s">
        <v>50</v>
      </c>
      <c r="AP647" t="s">
        <v>1884</v>
      </c>
      <c r="AQ647" s="1">
        <v>3431</v>
      </c>
      <c r="AR647" t="s">
        <v>70</v>
      </c>
    </row>
    <row r="648" spans="1:44">
      <c r="A648" s="1">
        <v>94835</v>
      </c>
      <c r="B648" s="1">
        <v>108587</v>
      </c>
      <c r="C648" s="1">
        <v>91244</v>
      </c>
      <c r="D648" t="s">
        <v>1885</v>
      </c>
      <c r="E648" t="s">
        <v>1886</v>
      </c>
      <c r="F648" t="str">
        <f>VLOOKUP(E648,Tabela2[#All],2,FALSE)</f>
        <v>Válvula Nível 6</v>
      </c>
      <c r="G648" t="s">
        <v>1887</v>
      </c>
      <c r="H648" s="1">
        <v>0.26</v>
      </c>
      <c r="I648" s="1">
        <v>0.26</v>
      </c>
      <c r="J648" t="s">
        <v>65</v>
      </c>
      <c r="K648" s="1">
        <v>63.8</v>
      </c>
      <c r="L648" s="1">
        <v>19.25</v>
      </c>
      <c r="M648" s="1">
        <v>8.75</v>
      </c>
      <c r="N648" s="1">
        <v>36450</v>
      </c>
      <c r="O648" t="s">
        <v>1023</v>
      </c>
      <c r="P648" t="s">
        <v>1888</v>
      </c>
      <c r="Q648" t="s">
        <v>350</v>
      </c>
      <c r="R648" t="s">
        <v>50</v>
      </c>
      <c r="S648" t="s">
        <v>50</v>
      </c>
      <c r="T648" s="1">
        <v>4.1723891699999998</v>
      </c>
      <c r="U648" s="1">
        <v>2.19658584</v>
      </c>
      <c r="V648" s="1">
        <v>0</v>
      </c>
      <c r="W648" s="1">
        <v>0.30808439999999998</v>
      </c>
      <c r="X648" t="s">
        <v>50</v>
      </c>
      <c r="Y648" s="1">
        <v>4.48E-2</v>
      </c>
      <c r="Z648" s="1">
        <v>0.24</v>
      </c>
      <c r="AA648" t="s">
        <v>50</v>
      </c>
      <c r="AB648" t="s">
        <v>50</v>
      </c>
      <c r="AC648" s="1">
        <v>0.19520000000000001</v>
      </c>
      <c r="AD648" t="s">
        <v>50</v>
      </c>
      <c r="AE648" t="s">
        <v>50</v>
      </c>
      <c r="AF648" t="s">
        <v>50</v>
      </c>
      <c r="AG648" s="1">
        <v>2.2700000000000001E-2</v>
      </c>
      <c r="AH648" t="s">
        <v>50</v>
      </c>
      <c r="AI648" t="s">
        <v>50</v>
      </c>
      <c r="AJ648" t="s">
        <v>50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t="s">
        <v>1889</v>
      </c>
      <c r="AQ648" s="1">
        <v>11007</v>
      </c>
      <c r="AR648" t="s">
        <v>70</v>
      </c>
    </row>
    <row r="649" spans="1:44">
      <c r="A649" s="1">
        <v>94835</v>
      </c>
      <c r="B649" s="1">
        <v>108587</v>
      </c>
      <c r="C649" s="1">
        <v>91244</v>
      </c>
      <c r="D649" t="s">
        <v>1885</v>
      </c>
      <c r="E649" t="s">
        <v>1886</v>
      </c>
      <c r="F649" t="str">
        <f>VLOOKUP(E649,Tabela2[#All],2,FALSE)</f>
        <v>Válvula Nível 6</v>
      </c>
      <c r="G649" t="s">
        <v>1887</v>
      </c>
      <c r="H649" s="1">
        <v>0.26</v>
      </c>
      <c r="I649" s="1">
        <v>0.26</v>
      </c>
      <c r="J649" t="s">
        <v>65</v>
      </c>
      <c r="K649" s="1">
        <v>63.8</v>
      </c>
      <c r="L649" s="1">
        <v>19.25</v>
      </c>
      <c r="M649" s="1">
        <v>8.75</v>
      </c>
      <c r="N649" s="1">
        <v>36450</v>
      </c>
      <c r="O649" t="s">
        <v>1023</v>
      </c>
      <c r="P649" t="s">
        <v>1888</v>
      </c>
      <c r="Q649" t="s">
        <v>1025</v>
      </c>
      <c r="R649" t="s">
        <v>50</v>
      </c>
      <c r="S649" t="s">
        <v>50</v>
      </c>
      <c r="T649" s="1">
        <v>4.1723891699999998</v>
      </c>
      <c r="U649" s="1">
        <v>2.19658584</v>
      </c>
      <c r="V649" s="1">
        <v>0</v>
      </c>
      <c r="W649" s="1">
        <v>0.30808439999999998</v>
      </c>
      <c r="X649" t="s">
        <v>50</v>
      </c>
      <c r="Y649" s="1">
        <v>4.48E-2</v>
      </c>
      <c r="Z649" s="1">
        <v>0.24</v>
      </c>
      <c r="AA649" t="s">
        <v>50</v>
      </c>
      <c r="AB649" t="s">
        <v>50</v>
      </c>
      <c r="AC649" s="1">
        <v>0.19520000000000001</v>
      </c>
      <c r="AD649" t="s">
        <v>50</v>
      </c>
      <c r="AE649" t="s">
        <v>50</v>
      </c>
      <c r="AF649" t="s">
        <v>50</v>
      </c>
      <c r="AG649" s="1">
        <v>2.2700000000000001E-2</v>
      </c>
      <c r="AH649" t="s">
        <v>50</v>
      </c>
      <c r="AI649" t="s">
        <v>50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t="s">
        <v>1889</v>
      </c>
      <c r="AQ649" s="1">
        <v>11007</v>
      </c>
      <c r="AR649" t="s">
        <v>70</v>
      </c>
    </row>
    <row r="650" spans="1:44">
      <c r="A650" s="1">
        <v>45329</v>
      </c>
      <c r="B650" s="1">
        <v>45330</v>
      </c>
      <c r="C650" s="1">
        <v>40313</v>
      </c>
      <c r="D650" t="s">
        <v>1890</v>
      </c>
      <c r="E650" t="s">
        <v>1891</v>
      </c>
      <c r="F650" t="str">
        <f>VLOOKUP(E650,Tabela2[#All],2,FALSE)</f>
        <v>Válvula Nível 3</v>
      </c>
      <c r="G650" t="s">
        <v>1892</v>
      </c>
      <c r="H650" s="1">
        <v>1.55</v>
      </c>
      <c r="I650" s="1">
        <v>1.55</v>
      </c>
      <c r="J650" t="s">
        <v>65</v>
      </c>
      <c r="K650" s="1">
        <v>59.906976999999998</v>
      </c>
      <c r="L650" s="1">
        <v>3.2</v>
      </c>
      <c r="M650" s="1">
        <v>8.6</v>
      </c>
      <c r="N650" s="1">
        <v>36441</v>
      </c>
      <c r="O650" t="s">
        <v>66</v>
      </c>
      <c r="P650" t="s">
        <v>890</v>
      </c>
      <c r="Q650" t="s">
        <v>68</v>
      </c>
      <c r="R650" t="s">
        <v>50</v>
      </c>
      <c r="S650" t="s">
        <v>50</v>
      </c>
      <c r="T650" s="1">
        <v>36.38156875</v>
      </c>
      <c r="U650" s="1">
        <v>36.35178561</v>
      </c>
      <c r="V650" s="1">
        <v>0</v>
      </c>
      <c r="W650" s="1">
        <v>0</v>
      </c>
      <c r="X650" t="s">
        <v>50</v>
      </c>
      <c r="Y650" t="s">
        <v>50</v>
      </c>
      <c r="Z650" t="s">
        <v>50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s="1">
        <v>0.2</v>
      </c>
      <c r="AH650" s="1">
        <v>0.91959999999999997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s="1">
        <v>2.58</v>
      </c>
      <c r="AO650" t="s">
        <v>50</v>
      </c>
      <c r="AP650" t="s">
        <v>1893</v>
      </c>
      <c r="AQ650" s="1">
        <v>3063</v>
      </c>
      <c r="AR650" t="s">
        <v>70</v>
      </c>
    </row>
    <row r="651" spans="1:44">
      <c r="A651" s="1">
        <v>113771</v>
      </c>
      <c r="B651" s="1">
        <v>114067</v>
      </c>
      <c r="C651" s="1">
        <v>96550</v>
      </c>
      <c r="D651" t="s">
        <v>1894</v>
      </c>
      <c r="E651" t="s">
        <v>1895</v>
      </c>
      <c r="F651" t="str">
        <f>VLOOKUP(E651,Tabela2[#All],2,FALSE)</f>
        <v>Válvula Nível 6</v>
      </c>
      <c r="G651" t="s">
        <v>1896</v>
      </c>
      <c r="H651" s="1">
        <v>3.8530000000000002</v>
      </c>
      <c r="I651" s="1">
        <v>3.9</v>
      </c>
      <c r="J651" t="s">
        <v>65</v>
      </c>
      <c r="K651" s="1">
        <v>82.105262999999994</v>
      </c>
      <c r="L651" s="1">
        <v>3.2</v>
      </c>
      <c r="M651" s="1">
        <v>15.2</v>
      </c>
      <c r="N651" s="1">
        <v>36449</v>
      </c>
      <c r="O651" t="s">
        <v>336</v>
      </c>
      <c r="P651" t="s">
        <v>1423</v>
      </c>
      <c r="Q651" t="s">
        <v>1424</v>
      </c>
      <c r="R651" t="s">
        <v>50</v>
      </c>
      <c r="S651" t="s">
        <v>50</v>
      </c>
      <c r="T651" s="1">
        <v>27.936205180000002</v>
      </c>
      <c r="U651" s="1">
        <v>27.678118510000001</v>
      </c>
      <c r="V651" s="1">
        <v>0</v>
      </c>
      <c r="W651" s="1">
        <v>0</v>
      </c>
      <c r="X651" t="s">
        <v>50</v>
      </c>
      <c r="Y651" t="s">
        <v>50</v>
      </c>
      <c r="Z651" t="s">
        <v>50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s="1">
        <v>0.33300000000000002</v>
      </c>
      <c r="AH651" s="1">
        <v>0.25</v>
      </c>
      <c r="AI651" s="1">
        <v>4.1000000000000002E-2</v>
      </c>
      <c r="AJ651" t="s">
        <v>50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t="s">
        <v>1897</v>
      </c>
      <c r="AQ651" s="1">
        <v>12427</v>
      </c>
      <c r="AR651" t="s">
        <v>70</v>
      </c>
    </row>
    <row r="652" spans="1:44">
      <c r="A652" s="1">
        <v>54394</v>
      </c>
      <c r="B652" s="1">
        <v>54484</v>
      </c>
      <c r="C652" s="1">
        <v>48704</v>
      </c>
      <c r="D652" t="s">
        <v>1898</v>
      </c>
      <c r="E652" t="s">
        <v>1899</v>
      </c>
      <c r="F652" t="str">
        <f>VLOOKUP(E652,Tabela2[#All],2,FALSE)</f>
        <v>TAMPA</v>
      </c>
      <c r="G652" t="s">
        <v>1900</v>
      </c>
      <c r="H652" s="1">
        <v>1.1000000000000001</v>
      </c>
      <c r="I652" s="1">
        <v>1.1000000000000001</v>
      </c>
      <c r="J652" t="s">
        <v>46</v>
      </c>
      <c r="K652" s="1">
        <v>51.805337999999999</v>
      </c>
      <c r="L652" s="1">
        <v>6</v>
      </c>
      <c r="M652" s="1">
        <v>12.74</v>
      </c>
      <c r="N652" s="1">
        <v>33009</v>
      </c>
      <c r="O652" t="s">
        <v>74</v>
      </c>
      <c r="P652" t="s">
        <v>59</v>
      </c>
      <c r="Q652" t="s">
        <v>60</v>
      </c>
      <c r="R652" t="s">
        <v>50</v>
      </c>
      <c r="S652" t="s">
        <v>50</v>
      </c>
      <c r="T652" s="1">
        <v>19.63592959</v>
      </c>
      <c r="U652" s="1">
        <v>8.3774224299999993</v>
      </c>
      <c r="V652" s="1">
        <v>0</v>
      </c>
      <c r="W652" s="1">
        <v>0</v>
      </c>
      <c r="X652" t="s">
        <v>50</v>
      </c>
      <c r="Y652" s="1">
        <v>2.6700000000000002E-2</v>
      </c>
      <c r="Z652" t="s">
        <v>50</v>
      </c>
      <c r="AA652" s="1">
        <v>3</v>
      </c>
      <c r="AB652" s="1">
        <v>2.1429</v>
      </c>
      <c r="AC652" t="s">
        <v>50</v>
      </c>
      <c r="AD652" t="s">
        <v>50</v>
      </c>
      <c r="AE652" s="1">
        <v>0.6</v>
      </c>
      <c r="AF652" s="1">
        <v>0.13299</v>
      </c>
      <c r="AG652" t="s">
        <v>50</v>
      </c>
      <c r="AH652" t="s">
        <v>50</v>
      </c>
      <c r="AI652" t="s">
        <v>50</v>
      </c>
      <c r="AJ652" t="s">
        <v>50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t="s">
        <v>1899</v>
      </c>
      <c r="AQ652" s="1">
        <v>3531</v>
      </c>
      <c r="AR652" t="s">
        <v>51</v>
      </c>
    </row>
  </sheetData>
  <autoFilter ref="A1:AR6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0DD2-2365-487F-8386-877EAF9D9883}">
  <dimension ref="A1:B563"/>
  <sheetViews>
    <sheetView topLeftCell="A554" workbookViewId="0">
      <selection activeCell="B566" sqref="B566"/>
    </sheetView>
  </sheetViews>
  <sheetFormatPr defaultRowHeight="15"/>
  <cols>
    <col min="1" max="1" width="22.85546875" style="3" bestFit="1" customWidth="1"/>
    <col min="2" max="2" width="29" style="3" bestFit="1" customWidth="1"/>
    <col min="3" max="4" width="12.42578125" bestFit="1" customWidth="1"/>
  </cols>
  <sheetData>
    <row r="1" spans="1:2">
      <c r="A1" s="3" t="s">
        <v>4</v>
      </c>
      <c r="B1" s="3" t="s">
        <v>1901</v>
      </c>
    </row>
    <row r="2" spans="1:2">
      <c r="A2" s="3" t="s">
        <v>826</v>
      </c>
      <c r="B2" s="3" t="s">
        <v>1933</v>
      </c>
    </row>
    <row r="3" spans="1:2">
      <c r="A3" s="3" t="s">
        <v>1934</v>
      </c>
      <c r="B3" s="3" t="s">
        <v>1933</v>
      </c>
    </row>
    <row r="4" spans="1:2">
      <c r="A4" s="3" t="s">
        <v>936</v>
      </c>
      <c r="B4" s="3" t="s">
        <v>1933</v>
      </c>
    </row>
    <row r="5" spans="1:2">
      <c r="A5" s="3" t="s">
        <v>1543</v>
      </c>
      <c r="B5" s="3" t="s">
        <v>1954</v>
      </c>
    </row>
    <row r="6" spans="1:2">
      <c r="A6" s="3" t="s">
        <v>1675</v>
      </c>
      <c r="B6" s="3" t="s">
        <v>1954</v>
      </c>
    </row>
    <row r="7" spans="1:2">
      <c r="A7" s="3" t="s">
        <v>1735</v>
      </c>
      <c r="B7" s="3" t="s">
        <v>1954</v>
      </c>
    </row>
    <row r="8" spans="1:2">
      <c r="A8" s="3" t="s">
        <v>1792</v>
      </c>
      <c r="B8" s="3" t="s">
        <v>1954</v>
      </c>
    </row>
    <row r="9" spans="1:2">
      <c r="A9" s="3" t="s">
        <v>1812</v>
      </c>
      <c r="B9" s="3" t="s">
        <v>1954</v>
      </c>
    </row>
    <row r="10" spans="1:2">
      <c r="A10" s="3" t="s">
        <v>1265</v>
      </c>
      <c r="B10" s="3" t="s">
        <v>1945</v>
      </c>
    </row>
    <row r="11" spans="1:2">
      <c r="A11" s="3" t="s">
        <v>1392</v>
      </c>
      <c r="B11" s="3" t="s">
        <v>1945</v>
      </c>
    </row>
    <row r="12" spans="1:2">
      <c r="A12" s="3" t="s">
        <v>469</v>
      </c>
      <c r="B12" s="3" t="s">
        <v>1921</v>
      </c>
    </row>
    <row r="13" spans="1:2">
      <c r="A13" s="3" t="s">
        <v>932</v>
      </c>
      <c r="B13" s="3" t="s">
        <v>1921</v>
      </c>
    </row>
    <row r="14" spans="1:2">
      <c r="A14" s="3" t="s">
        <v>932</v>
      </c>
      <c r="B14" s="3" t="s">
        <v>1921</v>
      </c>
    </row>
    <row r="15" spans="1:2">
      <c r="A15" s="3" t="s">
        <v>85</v>
      </c>
      <c r="B15" s="3" t="s">
        <v>1921</v>
      </c>
    </row>
    <row r="16" spans="1:2">
      <c r="A16" s="3" t="s">
        <v>292</v>
      </c>
      <c r="B16" t="s">
        <v>1921</v>
      </c>
    </row>
    <row r="17" spans="1:2">
      <c r="A17" s="3" t="s">
        <v>320</v>
      </c>
      <c r="B17" s="3" t="s">
        <v>1921</v>
      </c>
    </row>
    <row r="18" spans="1:2">
      <c r="A18" s="3" t="s">
        <v>462</v>
      </c>
      <c r="B18" s="3" t="s">
        <v>1921</v>
      </c>
    </row>
    <row r="19" spans="1:2">
      <c r="A19" s="3" t="s">
        <v>439</v>
      </c>
      <c r="B19" s="3" t="s">
        <v>1920</v>
      </c>
    </row>
    <row r="20" spans="1:2">
      <c r="A20" s="3" t="s">
        <v>864</v>
      </c>
      <c r="B20" s="3" t="s">
        <v>1920</v>
      </c>
    </row>
    <row r="21" spans="1:2">
      <c r="A21" s="3" t="s">
        <v>981</v>
      </c>
      <c r="B21" s="3" t="s">
        <v>1939</v>
      </c>
    </row>
    <row r="22" spans="1:2">
      <c r="A22" s="3" t="s">
        <v>989</v>
      </c>
      <c r="B22" s="3" t="s">
        <v>1939</v>
      </c>
    </row>
    <row r="23" spans="1:2">
      <c r="A23" s="3" t="s">
        <v>989</v>
      </c>
      <c r="B23" s="3" t="s">
        <v>1939</v>
      </c>
    </row>
    <row r="24" spans="1:2">
      <c r="A24" s="3" t="s">
        <v>544</v>
      </c>
      <c r="B24" s="3" t="s">
        <v>1939</v>
      </c>
    </row>
    <row r="25" spans="1:2">
      <c r="A25" s="3" t="s">
        <v>774</v>
      </c>
      <c r="B25" s="3" t="s">
        <v>1939</v>
      </c>
    </row>
    <row r="26" spans="1:2">
      <c r="A26" s="3" t="s">
        <v>794</v>
      </c>
      <c r="B26" s="3" t="s">
        <v>1939</v>
      </c>
    </row>
    <row r="27" spans="1:2">
      <c r="A27" s="3" t="s">
        <v>818</v>
      </c>
      <c r="B27" s="3" t="s">
        <v>1939</v>
      </c>
    </row>
    <row r="28" spans="1:2">
      <c r="A28" s="3" t="s">
        <v>976</v>
      </c>
      <c r="B28" s="3" t="s">
        <v>1939</v>
      </c>
    </row>
    <row r="29" spans="1:2">
      <c r="A29" s="3" t="s">
        <v>56</v>
      </c>
      <c r="B29" s="3" t="s">
        <v>1903</v>
      </c>
    </row>
    <row r="30" spans="1:2">
      <c r="A30" s="3" t="s">
        <v>1728</v>
      </c>
      <c r="B30" s="3" t="s">
        <v>1903</v>
      </c>
    </row>
    <row r="31" spans="1:2">
      <c r="A31" s="3" t="s">
        <v>1732</v>
      </c>
      <c r="B31" s="3" t="s">
        <v>1903</v>
      </c>
    </row>
    <row r="32" spans="1:2">
      <c r="A32" s="3" t="s">
        <v>1747</v>
      </c>
      <c r="B32" s="3" t="s">
        <v>1903</v>
      </c>
    </row>
    <row r="33" spans="1:2">
      <c r="A33" s="3" t="s">
        <v>1751</v>
      </c>
      <c r="B33" s="3" t="s">
        <v>1903</v>
      </c>
    </row>
    <row r="34" spans="1:2">
      <c r="A34" s="3" t="s">
        <v>1754</v>
      </c>
      <c r="B34" s="3" t="s">
        <v>1903</v>
      </c>
    </row>
    <row r="35" spans="1:2">
      <c r="A35" s="3" t="s">
        <v>1760</v>
      </c>
      <c r="B35" s="3" t="s">
        <v>1903</v>
      </c>
    </row>
    <row r="36" spans="1:2">
      <c r="A36" s="3" t="s">
        <v>1775</v>
      </c>
      <c r="B36" s="3" t="s">
        <v>1903</v>
      </c>
    </row>
    <row r="37" spans="1:2">
      <c r="A37" s="3" t="s">
        <v>1778</v>
      </c>
      <c r="B37" s="3" t="s">
        <v>1903</v>
      </c>
    </row>
    <row r="38" spans="1:2">
      <c r="A38" s="3" t="s">
        <v>1781</v>
      </c>
      <c r="B38" s="3" t="s">
        <v>1903</v>
      </c>
    </row>
    <row r="39" spans="1:2">
      <c r="A39" s="3" t="s">
        <v>324</v>
      </c>
      <c r="B39" s="3" t="s">
        <v>1914</v>
      </c>
    </row>
    <row r="40" spans="1:2">
      <c r="A40" s="3" t="s">
        <v>327</v>
      </c>
      <c r="B40" s="3" t="s">
        <v>1914</v>
      </c>
    </row>
    <row r="41" spans="1:2">
      <c r="A41" s="3" t="s">
        <v>1522</v>
      </c>
      <c r="B41" s="3" t="s">
        <v>1914</v>
      </c>
    </row>
    <row r="42" spans="1:2">
      <c r="A42" s="3" t="s">
        <v>97</v>
      </c>
      <c r="B42" s="3" t="s">
        <v>1908</v>
      </c>
    </row>
    <row r="43" spans="1:2">
      <c r="A43" s="3" t="s">
        <v>595</v>
      </c>
      <c r="B43" s="3" t="s">
        <v>1926</v>
      </c>
    </row>
    <row r="44" spans="1:2">
      <c r="A44" s="3" t="s">
        <v>1547</v>
      </c>
      <c r="B44" s="3" t="s">
        <v>1955</v>
      </c>
    </row>
    <row r="45" spans="1:2">
      <c r="A45" s="3" t="s">
        <v>1561</v>
      </c>
      <c r="B45" s="3" t="s">
        <v>1955</v>
      </c>
    </row>
    <row r="46" spans="1:2">
      <c r="A46" s="3" t="s">
        <v>1472</v>
      </c>
      <c r="B46" s="3" t="s">
        <v>1952</v>
      </c>
    </row>
    <row r="47" spans="1:2">
      <c r="A47" s="3" t="s">
        <v>1477</v>
      </c>
      <c r="B47" s="3" t="s">
        <v>1952</v>
      </c>
    </row>
    <row r="48" spans="1:2">
      <c r="A48" s="3" t="s">
        <v>1481</v>
      </c>
      <c r="B48" s="3" t="s">
        <v>1952</v>
      </c>
    </row>
    <row r="49" spans="1:2">
      <c r="A49" s="3" t="s">
        <v>1486</v>
      </c>
      <c r="B49" s="3" t="s">
        <v>1952</v>
      </c>
    </row>
    <row r="50" spans="1:2">
      <c r="A50" s="3" t="s">
        <v>1492</v>
      </c>
      <c r="B50" s="3" t="s">
        <v>1952</v>
      </c>
    </row>
    <row r="51" spans="1:2">
      <c r="A51" s="3" t="s">
        <v>1495</v>
      </c>
      <c r="B51" s="3" t="s">
        <v>1952</v>
      </c>
    </row>
    <row r="52" spans="1:2">
      <c r="A52" s="3" t="s">
        <v>1498</v>
      </c>
      <c r="B52" s="3" t="s">
        <v>1952</v>
      </c>
    </row>
    <row r="53" spans="1:2">
      <c r="A53" s="3" t="s">
        <v>1501</v>
      </c>
      <c r="B53" s="3" t="s">
        <v>1952</v>
      </c>
    </row>
    <row r="54" spans="1:2">
      <c r="A54" s="3" t="s">
        <v>1504</v>
      </c>
      <c r="B54" s="3" t="s">
        <v>1952</v>
      </c>
    </row>
    <row r="55" spans="1:2">
      <c r="A55" s="3" t="s">
        <v>1479</v>
      </c>
      <c r="B55" s="3" t="s">
        <v>1952</v>
      </c>
    </row>
    <row r="56" spans="1:2">
      <c r="A56" s="3" t="s">
        <v>1489</v>
      </c>
      <c r="B56" s="3" t="s">
        <v>1952</v>
      </c>
    </row>
    <row r="57" spans="1:2">
      <c r="A57" s="3" t="s">
        <v>396</v>
      </c>
      <c r="B57" s="3" t="s">
        <v>1917</v>
      </c>
    </row>
    <row r="58" spans="1:2">
      <c r="A58" s="3" t="s">
        <v>573</v>
      </c>
      <c r="B58" s="3" t="s">
        <v>1917</v>
      </c>
    </row>
    <row r="59" spans="1:2">
      <c r="A59" s="3" t="s">
        <v>640</v>
      </c>
      <c r="B59" s="3" t="s">
        <v>1917</v>
      </c>
    </row>
    <row r="60" spans="1:2">
      <c r="A60" s="3" t="s">
        <v>654</v>
      </c>
      <c r="B60" s="3" t="s">
        <v>1917</v>
      </c>
    </row>
    <row r="61" spans="1:2">
      <c r="A61" s="3" t="s">
        <v>719</v>
      </c>
      <c r="B61" s="3" t="s">
        <v>1917</v>
      </c>
    </row>
    <row r="62" spans="1:2">
      <c r="A62" s="3" t="s">
        <v>732</v>
      </c>
      <c r="B62" s="3" t="s">
        <v>1917</v>
      </c>
    </row>
    <row r="63" spans="1:2">
      <c r="A63" s="3" t="s">
        <v>745</v>
      </c>
      <c r="B63" s="3" t="s">
        <v>1917</v>
      </c>
    </row>
    <row r="64" spans="1:2">
      <c r="A64" s="3" t="s">
        <v>1622</v>
      </c>
      <c r="B64" s="3" t="s">
        <v>1917</v>
      </c>
    </row>
    <row r="65" spans="1:2">
      <c r="A65" s="3" t="s">
        <v>1700</v>
      </c>
      <c r="B65" s="3" t="s">
        <v>1956</v>
      </c>
    </row>
    <row r="66" spans="1:2">
      <c r="A66" s="3" t="s">
        <v>1712</v>
      </c>
      <c r="B66" s="3" t="s">
        <v>1956</v>
      </c>
    </row>
    <row r="67" spans="1:2">
      <c r="A67" s="3" t="s">
        <v>1725</v>
      </c>
      <c r="B67" s="3" t="s">
        <v>1956</v>
      </c>
    </row>
    <row r="68" spans="1:2">
      <c r="A68" s="3" t="s">
        <v>1715</v>
      </c>
      <c r="B68" s="3" t="s">
        <v>1956</v>
      </c>
    </row>
    <row r="69" spans="1:2">
      <c r="A69" s="3" t="s">
        <v>235</v>
      </c>
      <c r="B69" s="3" t="s">
        <v>1910</v>
      </c>
    </row>
    <row r="70" spans="1:2">
      <c r="A70" s="3" t="s">
        <v>250</v>
      </c>
      <c r="B70" s="3" t="s">
        <v>1910</v>
      </c>
    </row>
    <row r="71" spans="1:2">
      <c r="A71" s="3" t="s">
        <v>1093</v>
      </c>
      <c r="B71" s="3" t="s">
        <v>1910</v>
      </c>
    </row>
    <row r="72" spans="1:2">
      <c r="A72" s="3" t="s">
        <v>1260</v>
      </c>
      <c r="B72" s="3" t="s">
        <v>1944</v>
      </c>
    </row>
    <row r="73" spans="1:2">
      <c r="A73" s="3" t="s">
        <v>1388</v>
      </c>
      <c r="B73" s="3" t="s">
        <v>1944</v>
      </c>
    </row>
    <row r="74" spans="1:2">
      <c r="A74" s="3" t="s">
        <v>1538</v>
      </c>
      <c r="B74" s="3" t="s">
        <v>1944</v>
      </c>
    </row>
    <row r="75" spans="1:2">
      <c r="A75" s="3" t="s">
        <v>1538</v>
      </c>
      <c r="B75" s="3" t="s">
        <v>1944</v>
      </c>
    </row>
    <row r="76" spans="1:2">
      <c r="A76" s="3" t="s">
        <v>1670</v>
      </c>
      <c r="B76" s="3" t="s">
        <v>1944</v>
      </c>
    </row>
    <row r="77" spans="1:2">
      <c r="A77" s="3" t="s">
        <v>72</v>
      </c>
      <c r="B77" s="3" t="s">
        <v>1904</v>
      </c>
    </row>
    <row r="78" spans="1:2">
      <c r="A78" s="3" t="s">
        <v>1816</v>
      </c>
      <c r="B78" s="3" t="s">
        <v>1904</v>
      </c>
    </row>
    <row r="79" spans="1:2">
      <c r="A79" s="3" t="s">
        <v>1821</v>
      </c>
      <c r="B79" s="3" t="s">
        <v>1904</v>
      </c>
    </row>
    <row r="80" spans="1:2">
      <c r="A80" s="3" t="s">
        <v>687</v>
      </c>
      <c r="B80" s="3" t="s">
        <v>1928</v>
      </c>
    </row>
    <row r="81" spans="1:2">
      <c r="A81" s="3" t="s">
        <v>1867</v>
      </c>
      <c r="B81" s="3" t="s">
        <v>1928</v>
      </c>
    </row>
    <row r="82" spans="1:2">
      <c r="A82" s="3" t="s">
        <v>79</v>
      </c>
      <c r="B82" s="3" t="s">
        <v>1905</v>
      </c>
    </row>
    <row r="83" spans="1:2">
      <c r="A83" s="3" t="s">
        <v>444</v>
      </c>
      <c r="B83" s="3" t="s">
        <v>1905</v>
      </c>
    </row>
    <row r="84" spans="1:2">
      <c r="A84" s="3" t="s">
        <v>449</v>
      </c>
      <c r="B84" s="3" t="s">
        <v>1905</v>
      </c>
    </row>
    <row r="85" spans="1:2">
      <c r="A85" s="3" t="s">
        <v>453</v>
      </c>
      <c r="B85" s="3" t="s">
        <v>1905</v>
      </c>
    </row>
    <row r="86" spans="1:2">
      <c r="A86" s="3" t="s">
        <v>456</v>
      </c>
      <c r="B86" s="3" t="s">
        <v>1905</v>
      </c>
    </row>
    <row r="87" spans="1:2">
      <c r="A87" s="3" t="s">
        <v>459</v>
      </c>
      <c r="B87" s="3" t="s">
        <v>1905</v>
      </c>
    </row>
    <row r="88" spans="1:2">
      <c r="A88" s="3" t="s">
        <v>465</v>
      </c>
      <c r="B88" s="3" t="s">
        <v>1905</v>
      </c>
    </row>
    <row r="89" spans="1:2">
      <c r="A89" s="3" t="s">
        <v>473</v>
      </c>
      <c r="B89" s="3" t="s">
        <v>1905</v>
      </c>
    </row>
    <row r="90" spans="1:2">
      <c r="A90" s="3" t="s">
        <v>476</v>
      </c>
      <c r="B90" s="3" t="s">
        <v>1905</v>
      </c>
    </row>
    <row r="91" spans="1:2">
      <c r="A91" s="3" t="s">
        <v>479</v>
      </c>
      <c r="B91" s="3" t="s">
        <v>1905</v>
      </c>
    </row>
    <row r="92" spans="1:2">
      <c r="A92" s="3" t="s">
        <v>479</v>
      </c>
      <c r="B92" s="3" t="s">
        <v>1905</v>
      </c>
    </row>
    <row r="93" spans="1:2">
      <c r="A93" s="3" t="s">
        <v>483</v>
      </c>
      <c r="B93" s="3" t="s">
        <v>1905</v>
      </c>
    </row>
    <row r="94" spans="1:2">
      <c r="A94" s="3" t="s">
        <v>486</v>
      </c>
      <c r="B94" s="3" t="s">
        <v>1905</v>
      </c>
    </row>
    <row r="95" spans="1:2">
      <c r="A95" s="3" t="s">
        <v>879</v>
      </c>
      <c r="B95" s="3" t="s">
        <v>1905</v>
      </c>
    </row>
    <row r="96" spans="1:2">
      <c r="A96" s="3" t="s">
        <v>1068</v>
      </c>
      <c r="B96" s="3" t="s">
        <v>1905</v>
      </c>
    </row>
    <row r="97" spans="1:2">
      <c r="A97" s="3" t="s">
        <v>1068</v>
      </c>
      <c r="B97" s="3" t="s">
        <v>1905</v>
      </c>
    </row>
    <row r="98" spans="1:2">
      <c r="A98" s="3" t="s">
        <v>1703</v>
      </c>
      <c r="B98" s="3" t="s">
        <v>1905</v>
      </c>
    </row>
    <row r="99" spans="1:2">
      <c r="A99" s="3" t="s">
        <v>1703</v>
      </c>
      <c r="B99" s="3" t="s">
        <v>1905</v>
      </c>
    </row>
    <row r="100" spans="1:2">
      <c r="A100" s="3" t="s">
        <v>1708</v>
      </c>
      <c r="B100" s="3" t="s">
        <v>1905</v>
      </c>
    </row>
    <row r="101" spans="1:2">
      <c r="A101" s="3" t="s">
        <v>1836</v>
      </c>
      <c r="B101" s="3" t="s">
        <v>1905</v>
      </c>
    </row>
    <row r="102" spans="1:2">
      <c r="A102" s="3" t="s">
        <v>1722</v>
      </c>
      <c r="B102" s="3" t="s">
        <v>1957</v>
      </c>
    </row>
    <row r="103" spans="1:2">
      <c r="A103" s="3" t="s">
        <v>748</v>
      </c>
      <c r="B103" s="3" t="s">
        <v>1932</v>
      </c>
    </row>
    <row r="104" spans="1:2">
      <c r="A104" s="3" t="s">
        <v>786</v>
      </c>
      <c r="B104" s="3" t="s">
        <v>1932</v>
      </c>
    </row>
    <row r="105" spans="1:2">
      <c r="A105" s="3" t="s">
        <v>835</v>
      </c>
      <c r="B105" s="3" t="s">
        <v>1932</v>
      </c>
    </row>
    <row r="106" spans="1:2">
      <c r="A106" s="3" t="s">
        <v>858</v>
      </c>
      <c r="B106" s="3" t="s">
        <v>1932</v>
      </c>
    </row>
    <row r="107" spans="1:2">
      <c r="A107" s="3" t="s">
        <v>985</v>
      </c>
      <c r="B107" s="3" t="s">
        <v>1932</v>
      </c>
    </row>
    <row r="108" spans="1:2">
      <c r="A108" s="3" t="s">
        <v>1833</v>
      </c>
      <c r="B108" s="3" t="s">
        <v>1932</v>
      </c>
    </row>
    <row r="109" spans="1:2">
      <c r="A109" s="3" t="s">
        <v>609</v>
      </c>
      <c r="B109" s="3" t="s">
        <v>1927</v>
      </c>
    </row>
    <row r="110" spans="1:2">
      <c r="A110" s="3" t="s">
        <v>402</v>
      </c>
      <c r="B110" s="3" t="s">
        <v>1918</v>
      </c>
    </row>
    <row r="111" spans="1:2">
      <c r="A111" s="3" t="s">
        <v>553</v>
      </c>
      <c r="B111" s="3" t="s">
        <v>1918</v>
      </c>
    </row>
    <row r="112" spans="1:2">
      <c r="A112" s="3" t="s">
        <v>569</v>
      </c>
      <c r="B112" s="3" t="s">
        <v>1918</v>
      </c>
    </row>
    <row r="113" spans="1:2">
      <c r="A113" s="3" t="s">
        <v>582</v>
      </c>
      <c r="B113" s="3" t="s">
        <v>1918</v>
      </c>
    </row>
    <row r="114" spans="1:2">
      <c r="A114" s="3" t="s">
        <v>591</v>
      </c>
      <c r="B114" s="3" t="s">
        <v>1918</v>
      </c>
    </row>
    <row r="115" spans="1:2">
      <c r="A115" s="3" t="s">
        <v>637</v>
      </c>
      <c r="B115" s="3" t="s">
        <v>1918</v>
      </c>
    </row>
    <row r="116" spans="1:2">
      <c r="A116" s="3" t="s">
        <v>650</v>
      </c>
      <c r="B116" s="3" t="s">
        <v>1918</v>
      </c>
    </row>
    <row r="117" spans="1:2">
      <c r="A117" s="3" t="s">
        <v>728</v>
      </c>
      <c r="B117" s="3" t="s">
        <v>1918</v>
      </c>
    </row>
    <row r="118" spans="1:2">
      <c r="A118" s="3" t="s">
        <v>742</v>
      </c>
      <c r="B118" s="3" t="s">
        <v>1918</v>
      </c>
    </row>
    <row r="119" spans="1:2">
      <c r="A119" s="3" t="s">
        <v>806</v>
      </c>
      <c r="B119" s="3" t="s">
        <v>1918</v>
      </c>
    </row>
    <row r="120" spans="1:2">
      <c r="A120" s="3" t="s">
        <v>838</v>
      </c>
      <c r="B120" s="3" t="s">
        <v>1918</v>
      </c>
    </row>
    <row r="121" spans="1:2">
      <c r="A121" s="3" t="s">
        <v>848</v>
      </c>
      <c r="B121" s="3" t="s">
        <v>1918</v>
      </c>
    </row>
    <row r="122" spans="1:2">
      <c r="A122" s="3" t="s">
        <v>1017</v>
      </c>
      <c r="B122" s="3" t="s">
        <v>1918</v>
      </c>
    </row>
    <row r="123" spans="1:2">
      <c r="A123" s="3" t="s">
        <v>1606</v>
      </c>
      <c r="B123" s="3" t="s">
        <v>1918</v>
      </c>
    </row>
    <row r="124" spans="1:2">
      <c r="A124" s="3" t="s">
        <v>1252</v>
      </c>
      <c r="B124" s="3" t="s">
        <v>1918</v>
      </c>
    </row>
    <row r="125" spans="1:2">
      <c r="A125" s="3" t="s">
        <v>1825</v>
      </c>
      <c r="B125" s="3" t="s">
        <v>1918</v>
      </c>
    </row>
    <row r="126" spans="1:2">
      <c r="A126" s="3" t="s">
        <v>1830</v>
      </c>
      <c r="B126" s="3" t="s">
        <v>1918</v>
      </c>
    </row>
    <row r="127" spans="1:2">
      <c r="A127" s="3" t="s">
        <v>1079</v>
      </c>
      <c r="B127" s="3" t="s">
        <v>1942</v>
      </c>
    </row>
    <row r="128" spans="1:2">
      <c r="A128" s="3" t="s">
        <v>967</v>
      </c>
      <c r="B128" s="3" t="s">
        <v>1938</v>
      </c>
    </row>
    <row r="129" spans="1:2">
      <c r="A129" s="3" t="s">
        <v>1175</v>
      </c>
      <c r="B129" s="3" t="s">
        <v>1943</v>
      </c>
    </row>
    <row r="130" spans="1:2">
      <c r="A130" s="3" t="s">
        <v>1178</v>
      </c>
      <c r="B130" s="3" t="s">
        <v>1943</v>
      </c>
    </row>
    <row r="131" spans="1:2">
      <c r="A131" s="3" t="s">
        <v>1181</v>
      </c>
      <c r="B131" s="3" t="s">
        <v>1943</v>
      </c>
    </row>
    <row r="132" spans="1:2">
      <c r="A132" s="3" t="s">
        <v>1178</v>
      </c>
      <c r="B132" s="3" t="s">
        <v>1943</v>
      </c>
    </row>
    <row r="133" spans="1:2">
      <c r="A133" s="3" t="s">
        <v>1401</v>
      </c>
      <c r="B133" s="3" t="s">
        <v>1943</v>
      </c>
    </row>
    <row r="134" spans="1:2">
      <c r="A134" s="3" t="s">
        <v>1417</v>
      </c>
      <c r="B134" s="3" t="s">
        <v>1943</v>
      </c>
    </row>
    <row r="135" spans="1:2">
      <c r="A135" s="3" t="s">
        <v>266</v>
      </c>
      <c r="B135" s="3" t="s">
        <v>1912</v>
      </c>
    </row>
    <row r="136" spans="1:2">
      <c r="A136" s="3" t="s">
        <v>971</v>
      </c>
      <c r="B136" s="3" t="s">
        <v>1912</v>
      </c>
    </row>
    <row r="137" spans="1:2">
      <c r="A137" s="3" t="s">
        <v>262</v>
      </c>
      <c r="B137" s="3" t="s">
        <v>1911</v>
      </c>
    </row>
    <row r="138" spans="1:2">
      <c r="A138" s="3" t="s">
        <v>287</v>
      </c>
      <c r="B138" s="3" t="s">
        <v>1911</v>
      </c>
    </row>
    <row r="139" spans="1:2">
      <c r="A139" s="3" t="s">
        <v>296</v>
      </c>
      <c r="B139" s="3" t="s">
        <v>1911</v>
      </c>
    </row>
    <row r="140" spans="1:2">
      <c r="A140" s="3" t="s">
        <v>296</v>
      </c>
      <c r="B140" s="3" t="s">
        <v>1911</v>
      </c>
    </row>
    <row r="141" spans="1:2">
      <c r="A141" s="3" t="s">
        <v>296</v>
      </c>
      <c r="B141" s="3" t="s">
        <v>1911</v>
      </c>
    </row>
    <row r="142" spans="1:2">
      <c r="A142" s="3" t="s">
        <v>369</v>
      </c>
      <c r="B142" s="3" t="s">
        <v>1915</v>
      </c>
    </row>
    <row r="143" spans="1:2">
      <c r="A143" s="3" t="s">
        <v>490</v>
      </c>
      <c r="B143" s="3" t="s">
        <v>1915</v>
      </c>
    </row>
    <row r="144" spans="1:2">
      <c r="A144" s="3" t="s">
        <v>1073</v>
      </c>
      <c r="B144" s="3" t="s">
        <v>1941</v>
      </c>
    </row>
    <row r="145" spans="1:2">
      <c r="A145" s="3" t="s">
        <v>1840</v>
      </c>
      <c r="B145" s="3" t="s">
        <v>1941</v>
      </c>
    </row>
    <row r="146" spans="1:2">
      <c r="A146" s="3" t="s">
        <v>1858</v>
      </c>
      <c r="B146" s="3" t="s">
        <v>1941</v>
      </c>
    </row>
    <row r="147" spans="1:2">
      <c r="A147" s="3" t="s">
        <v>563</v>
      </c>
      <c r="B147" s="3" t="s">
        <v>1925</v>
      </c>
    </row>
    <row r="148" spans="1:2">
      <c r="A148" s="3" t="s">
        <v>677</v>
      </c>
      <c r="B148" s="3" t="s">
        <v>1925</v>
      </c>
    </row>
    <row r="149" spans="1:2">
      <c r="A149" s="3" t="s">
        <v>680</v>
      </c>
      <c r="B149" s="3" t="s">
        <v>1925</v>
      </c>
    </row>
    <row r="150" spans="1:2">
      <c r="A150" s="3" t="s">
        <v>755</v>
      </c>
      <c r="B150" s="3" t="s">
        <v>1925</v>
      </c>
    </row>
    <row r="151" spans="1:2">
      <c r="A151" s="3" t="s">
        <v>798</v>
      </c>
      <c r="B151" s="3" t="s">
        <v>1925</v>
      </c>
    </row>
    <row r="152" spans="1:2">
      <c r="A152" s="3" t="s">
        <v>829</v>
      </c>
      <c r="B152" s="3" t="s">
        <v>1935</v>
      </c>
    </row>
    <row r="153" spans="1:2">
      <c r="A153" s="3" t="s">
        <v>1518</v>
      </c>
      <c r="B153" s="3" t="s">
        <v>1953</v>
      </c>
    </row>
    <row r="154" spans="1:2">
      <c r="A154" s="3" t="s">
        <v>44</v>
      </c>
      <c r="B154" s="3" t="s">
        <v>1902</v>
      </c>
    </row>
    <row r="155" spans="1:2">
      <c r="A155" s="3" t="s">
        <v>53</v>
      </c>
      <c r="B155" s="3" t="s">
        <v>1902</v>
      </c>
    </row>
    <row r="156" spans="1:2">
      <c r="A156" s="3" t="s">
        <v>664</v>
      </c>
      <c r="B156" s="3" t="s">
        <v>1902</v>
      </c>
    </row>
    <row r="157" spans="1:2">
      <c r="A157" s="3" t="s">
        <v>667</v>
      </c>
      <c r="B157" s="3" t="s">
        <v>1902</v>
      </c>
    </row>
    <row r="158" spans="1:2">
      <c r="A158" s="3" t="s">
        <v>667</v>
      </c>
      <c r="B158" s="3" t="s">
        <v>1902</v>
      </c>
    </row>
    <row r="159" spans="1:2">
      <c r="A159" s="3" t="s">
        <v>671</v>
      </c>
      <c r="B159" s="3" t="s">
        <v>1902</v>
      </c>
    </row>
    <row r="160" spans="1:2">
      <c r="A160" s="3" t="s">
        <v>674</v>
      </c>
      <c r="B160" s="3" t="s">
        <v>1902</v>
      </c>
    </row>
    <row r="161" spans="1:2">
      <c r="A161" s="3" t="s">
        <v>1243</v>
      </c>
      <c r="B161" s="3" t="s">
        <v>1902</v>
      </c>
    </row>
    <row r="162" spans="1:2">
      <c r="A162" s="3" t="s">
        <v>1249</v>
      </c>
      <c r="B162" s="3" t="s">
        <v>1902</v>
      </c>
    </row>
    <row r="163" spans="1:2">
      <c r="A163" s="3" t="s">
        <v>1580</v>
      </c>
      <c r="B163" s="3" t="s">
        <v>1902</v>
      </c>
    </row>
    <row r="164" spans="1:2">
      <c r="A164" s="3" t="s">
        <v>1583</v>
      </c>
      <c r="B164" s="3" t="s">
        <v>1902</v>
      </c>
    </row>
    <row r="165" spans="1:2">
      <c r="A165" s="3" t="s">
        <v>1619</v>
      </c>
      <c r="B165" s="3" t="s">
        <v>1902</v>
      </c>
    </row>
    <row r="166" spans="1:2">
      <c r="A166" s="3" t="s">
        <v>1420</v>
      </c>
      <c r="B166" s="3" t="s">
        <v>1951</v>
      </c>
    </row>
    <row r="167" spans="1:2">
      <c r="A167" s="3" t="s">
        <v>1679</v>
      </c>
      <c r="B167" s="3" t="s">
        <v>1951</v>
      </c>
    </row>
    <row r="168" spans="1:2">
      <c r="A168" s="3" t="s">
        <v>1683</v>
      </c>
      <c r="B168" s="3" t="s">
        <v>1951</v>
      </c>
    </row>
    <row r="169" spans="1:2">
      <c r="A169" s="3" t="s">
        <v>1691</v>
      </c>
      <c r="B169" s="3" t="s">
        <v>1951</v>
      </c>
    </row>
    <row r="170" spans="1:2">
      <c r="A170" s="3" t="s">
        <v>1694</v>
      </c>
      <c r="B170" s="3" t="s">
        <v>1951</v>
      </c>
    </row>
    <row r="171" spans="1:2">
      <c r="A171" s="3" t="s">
        <v>1697</v>
      </c>
      <c r="B171" s="3" t="s">
        <v>1951</v>
      </c>
    </row>
    <row r="172" spans="1:2">
      <c r="A172" s="3" t="s">
        <v>1757</v>
      </c>
      <c r="B172" s="3" t="s">
        <v>1951</v>
      </c>
    </row>
    <row r="173" spans="1:2">
      <c r="A173" s="3" t="s">
        <v>1855</v>
      </c>
      <c r="B173" s="3" t="s">
        <v>1951</v>
      </c>
    </row>
    <row r="174" spans="1:2">
      <c r="A174" s="3" t="s">
        <v>1861</v>
      </c>
      <c r="B174" s="3" t="s">
        <v>1951</v>
      </c>
    </row>
    <row r="175" spans="1:2">
      <c r="A175" s="3" t="s">
        <v>1687</v>
      </c>
      <c r="B175" s="3" t="s">
        <v>1951</v>
      </c>
    </row>
    <row r="176" spans="1:2">
      <c r="A176" s="3" t="s">
        <v>1384</v>
      </c>
      <c r="B176" s="3" t="s">
        <v>1950</v>
      </c>
    </row>
    <row r="177" spans="1:2">
      <c r="A177" s="3" t="s">
        <v>1533</v>
      </c>
      <c r="B177" s="3" t="s">
        <v>1950</v>
      </c>
    </row>
    <row r="178" spans="1:2">
      <c r="A178" s="3" t="s">
        <v>1533</v>
      </c>
      <c r="B178" s="3" t="s">
        <v>1950</v>
      </c>
    </row>
    <row r="179" spans="1:2">
      <c r="A179" s="3" t="s">
        <v>1599</v>
      </c>
      <c r="B179" s="3" t="s">
        <v>1950</v>
      </c>
    </row>
    <row r="180" spans="1:2">
      <c r="A180" s="3" t="s">
        <v>1666</v>
      </c>
      <c r="B180" s="3" t="s">
        <v>1950</v>
      </c>
    </row>
    <row r="181" spans="1:2">
      <c r="A181" s="3" t="s">
        <v>556</v>
      </c>
      <c r="B181" s="3" t="s">
        <v>1924</v>
      </c>
    </row>
    <row r="182" spans="1:2">
      <c r="A182" s="3" t="s">
        <v>559</v>
      </c>
      <c r="B182" s="3" t="s">
        <v>1924</v>
      </c>
    </row>
    <row r="183" spans="1:2">
      <c r="A183" s="3" t="s">
        <v>566</v>
      </c>
      <c r="B183" s="3" t="s">
        <v>1924</v>
      </c>
    </row>
    <row r="184" spans="1:2">
      <c r="A184" s="3" t="s">
        <v>579</v>
      </c>
      <c r="B184" s="3" t="s">
        <v>1924</v>
      </c>
    </row>
    <row r="185" spans="1:2">
      <c r="A185" s="3" t="s">
        <v>588</v>
      </c>
      <c r="B185" s="3" t="s">
        <v>1924</v>
      </c>
    </row>
    <row r="186" spans="1:2">
      <c r="A186" s="3" t="s">
        <v>624</v>
      </c>
      <c r="B186" s="3" t="s">
        <v>1924</v>
      </c>
    </row>
    <row r="187" spans="1:2">
      <c r="A187" s="3" t="s">
        <v>627</v>
      </c>
      <c r="B187" s="3" t="s">
        <v>1924</v>
      </c>
    </row>
    <row r="188" spans="1:2">
      <c r="A188" s="3" t="s">
        <v>646</v>
      </c>
      <c r="B188" s="3" t="s">
        <v>1924</v>
      </c>
    </row>
    <row r="189" spans="1:2">
      <c r="A189" s="3" t="s">
        <v>661</v>
      </c>
      <c r="B189" s="3" t="s">
        <v>1924</v>
      </c>
    </row>
    <row r="190" spans="1:2">
      <c r="A190" s="3" t="s">
        <v>778</v>
      </c>
      <c r="B190" s="3" t="s">
        <v>1924</v>
      </c>
    </row>
    <row r="191" spans="1:2">
      <c r="A191" s="3" t="s">
        <v>790</v>
      </c>
      <c r="B191" s="3" t="s">
        <v>1924</v>
      </c>
    </row>
    <row r="192" spans="1:2">
      <c r="A192" s="3" t="s">
        <v>810</v>
      </c>
      <c r="B192" s="3" t="s">
        <v>1924</v>
      </c>
    </row>
    <row r="193" spans="1:2">
      <c r="A193" s="3" t="s">
        <v>845</v>
      </c>
      <c r="B193" s="3" t="s">
        <v>1924</v>
      </c>
    </row>
    <row r="194" spans="1:2">
      <c r="A194" s="3" t="s">
        <v>855</v>
      </c>
      <c r="B194" s="3" t="s">
        <v>1924</v>
      </c>
    </row>
    <row r="195" spans="1:2">
      <c r="A195" s="3" t="s">
        <v>1609</v>
      </c>
      <c r="B195" s="3" t="s">
        <v>1924</v>
      </c>
    </row>
    <row r="196" spans="1:2">
      <c r="A196" s="3" t="s">
        <v>1612</v>
      </c>
      <c r="B196" s="3" t="s">
        <v>1924</v>
      </c>
    </row>
    <row r="197" spans="1:2">
      <c r="A197" s="3" t="s">
        <v>1615</v>
      </c>
      <c r="B197" s="3" t="s">
        <v>1924</v>
      </c>
    </row>
    <row r="198" spans="1:2">
      <c r="A198" s="3" t="s">
        <v>1256</v>
      </c>
      <c r="B198" s="3" t="s">
        <v>1924</v>
      </c>
    </row>
    <row r="199" spans="1:2">
      <c r="A199" s="3" t="s">
        <v>861</v>
      </c>
      <c r="B199" s="3" t="s">
        <v>1924</v>
      </c>
    </row>
    <row r="200" spans="1:2">
      <c r="A200" s="3" t="s">
        <v>305</v>
      </c>
      <c r="B200" s="3" t="s">
        <v>1907</v>
      </c>
    </row>
    <row r="201" spans="1:2">
      <c r="A201" s="3" t="s">
        <v>270</v>
      </c>
      <c r="B201" s="3" t="s">
        <v>1907</v>
      </c>
    </row>
    <row r="202" spans="1:2">
      <c r="A202" s="3" t="s">
        <v>274</v>
      </c>
      <c r="B202" s="3" t="s">
        <v>1907</v>
      </c>
    </row>
    <row r="203" spans="1:2">
      <c r="A203" s="3" t="s">
        <v>274</v>
      </c>
      <c r="B203" s="3" t="s">
        <v>1907</v>
      </c>
    </row>
    <row r="204" spans="1:2">
      <c r="A204" s="3" t="s">
        <v>283</v>
      </c>
      <c r="B204" s="3" t="s">
        <v>1907</v>
      </c>
    </row>
    <row r="205" spans="1:2">
      <c r="A205" s="3" t="s">
        <v>311</v>
      </c>
      <c r="B205" s="3" t="s">
        <v>1907</v>
      </c>
    </row>
    <row r="206" spans="1:2">
      <c r="A206" s="3" t="s">
        <v>1913</v>
      </c>
      <c r="B206" s="3" t="s">
        <v>1907</v>
      </c>
    </row>
    <row r="207" spans="1:2">
      <c r="A207" s="3" t="s">
        <v>1913</v>
      </c>
      <c r="B207" s="3" t="s">
        <v>1907</v>
      </c>
    </row>
    <row r="208" spans="1:2">
      <c r="A208" s="3" t="s">
        <v>330</v>
      </c>
      <c r="B208" s="3" t="s">
        <v>1907</v>
      </c>
    </row>
    <row r="209" spans="1:2">
      <c r="A209" s="3" t="s">
        <v>376</v>
      </c>
      <c r="B209" s="3" t="s">
        <v>1907</v>
      </c>
    </row>
    <row r="210" spans="1:2">
      <c r="A210" s="3" t="s">
        <v>380</v>
      </c>
      <c r="B210" s="3" t="s">
        <v>1907</v>
      </c>
    </row>
    <row r="211" spans="1:2">
      <c r="A211" s="3" t="s">
        <v>406</v>
      </c>
      <c r="B211" s="3" t="s">
        <v>1907</v>
      </c>
    </row>
    <row r="212" spans="1:2">
      <c r="A212" s="3" t="s">
        <v>722</v>
      </c>
      <c r="B212" s="3" t="s">
        <v>1907</v>
      </c>
    </row>
    <row r="213" spans="1:2">
      <c r="A213" s="3" t="s">
        <v>722</v>
      </c>
      <c r="B213" s="3" t="s">
        <v>1907</v>
      </c>
    </row>
    <row r="214" spans="1:2">
      <c r="A214" s="3" t="s">
        <v>1526</v>
      </c>
      <c r="B214" s="3" t="s">
        <v>1907</v>
      </c>
    </row>
    <row r="215" spans="1:2">
      <c r="A215" s="3" t="s">
        <v>1526</v>
      </c>
      <c r="B215" s="3" t="s">
        <v>1907</v>
      </c>
    </row>
    <row r="216" spans="1:2">
      <c r="A216" s="3" t="s">
        <v>1526</v>
      </c>
      <c r="B216" s="3" t="s">
        <v>1907</v>
      </c>
    </row>
    <row r="217" spans="1:2">
      <c r="A217" s="3" t="s">
        <v>1804</v>
      </c>
      <c r="B217" s="3" t="s">
        <v>1907</v>
      </c>
    </row>
    <row r="218" spans="1:2">
      <c r="A218" s="3" t="s">
        <v>1804</v>
      </c>
      <c r="B218" s="3" t="s">
        <v>1907</v>
      </c>
    </row>
    <row r="219" spans="1:2">
      <c r="A219" s="3" t="s">
        <v>1808</v>
      </c>
      <c r="B219" s="3" t="s">
        <v>1907</v>
      </c>
    </row>
    <row r="220" spans="1:2">
      <c r="A220" s="3" t="s">
        <v>1808</v>
      </c>
      <c r="B220" s="3" t="s">
        <v>1907</v>
      </c>
    </row>
    <row r="221" spans="1:2">
      <c r="A221" s="3" t="s">
        <v>258</v>
      </c>
      <c r="B221" s="3" t="s">
        <v>1907</v>
      </c>
    </row>
    <row r="222" spans="1:2">
      <c r="A222" s="3" t="s">
        <v>279</v>
      </c>
      <c r="B222" s="3" t="s">
        <v>1907</v>
      </c>
    </row>
    <row r="223" spans="1:2">
      <c r="A223" s="3" t="s">
        <v>303</v>
      </c>
      <c r="B223" s="3" t="s">
        <v>1907</v>
      </c>
    </row>
    <row r="224" spans="1:2">
      <c r="A224" s="3" t="s">
        <v>314</v>
      </c>
      <c r="B224" s="3" t="s">
        <v>1907</v>
      </c>
    </row>
    <row r="225" spans="1:2">
      <c r="A225" s="3" t="s">
        <v>883</v>
      </c>
      <c r="B225" s="3" t="s">
        <v>1937</v>
      </c>
    </row>
    <row r="226" spans="1:2">
      <c r="A226" s="3" t="s">
        <v>1653</v>
      </c>
      <c r="B226" s="3" t="s">
        <v>1937</v>
      </c>
    </row>
    <row r="227" spans="1:2">
      <c r="A227" s="3" t="s">
        <v>372</v>
      </c>
      <c r="B227" s="3" t="s">
        <v>1916</v>
      </c>
    </row>
    <row r="228" spans="1:2">
      <c r="A228" s="3" t="s">
        <v>493</v>
      </c>
      <c r="B228" s="3" t="s">
        <v>1916</v>
      </c>
    </row>
    <row r="229" spans="1:2">
      <c r="A229" s="3" t="s">
        <v>496</v>
      </c>
      <c r="B229" s="3" t="s">
        <v>1916</v>
      </c>
    </row>
    <row r="230" spans="1:2">
      <c r="A230" s="3" t="s">
        <v>499</v>
      </c>
      <c r="B230" s="3" t="s">
        <v>1916</v>
      </c>
    </row>
    <row r="231" spans="1:2">
      <c r="A231" s="3" t="s">
        <v>613</v>
      </c>
      <c r="B231" s="3" t="s">
        <v>1916</v>
      </c>
    </row>
    <row r="232" spans="1:2">
      <c r="A232" s="3" t="s">
        <v>684</v>
      </c>
      <c r="B232" s="3" t="s">
        <v>1916</v>
      </c>
    </row>
    <row r="233" spans="1:2">
      <c r="A233" s="3" t="s">
        <v>690</v>
      </c>
      <c r="B233" s="3" t="s">
        <v>1916</v>
      </c>
    </row>
    <row r="234" spans="1:2">
      <c r="A234" s="3" t="s">
        <v>710</v>
      </c>
      <c r="B234" s="3" t="s">
        <v>1916</v>
      </c>
    </row>
    <row r="235" spans="1:2">
      <c r="A235" s="3" t="s">
        <v>822</v>
      </c>
      <c r="B235" s="3" t="s">
        <v>1916</v>
      </c>
    </row>
    <row r="236" spans="1:2">
      <c r="A236" s="3" t="s">
        <v>1625</v>
      </c>
      <c r="B236" s="3" t="s">
        <v>1916</v>
      </c>
    </row>
    <row r="237" spans="1:2">
      <c r="A237" s="3" t="s">
        <v>429</v>
      </c>
      <c r="B237" s="3" t="s">
        <v>1919</v>
      </c>
    </row>
    <row r="238" spans="1:2">
      <c r="A238" s="3" t="s">
        <v>434</v>
      </c>
      <c r="B238" s="3" t="s">
        <v>1919</v>
      </c>
    </row>
    <row r="239" spans="1:2">
      <c r="A239" s="3" t="s">
        <v>1184</v>
      </c>
      <c r="B239" s="3" t="s">
        <v>1919</v>
      </c>
    </row>
    <row r="240" spans="1:2">
      <c r="A240" s="3" t="s">
        <v>1206</v>
      </c>
      <c r="B240" s="3" t="s">
        <v>1919</v>
      </c>
    </row>
    <row r="241" spans="1:2">
      <c r="A241" s="3" t="s">
        <v>1210</v>
      </c>
      <c r="B241" s="3" t="s">
        <v>1919</v>
      </c>
    </row>
    <row r="242" spans="1:2">
      <c r="A242" s="3" t="s">
        <v>1463</v>
      </c>
      <c r="B242" s="3" t="s">
        <v>1919</v>
      </c>
    </row>
    <row r="243" spans="1:2">
      <c r="A243" s="3" t="s">
        <v>1469</v>
      </c>
      <c r="B243" s="3" t="s">
        <v>1919</v>
      </c>
    </row>
    <row r="244" spans="1:2">
      <c r="A244" s="3" t="s">
        <v>1603</v>
      </c>
      <c r="B244" s="3" t="s">
        <v>1919</v>
      </c>
    </row>
    <row r="245" spans="1:2">
      <c r="A245" s="3" t="s">
        <v>1661</v>
      </c>
      <c r="B245" s="3" t="s">
        <v>1919</v>
      </c>
    </row>
    <row r="246" spans="1:2">
      <c r="A246" s="3" t="s">
        <v>1764</v>
      </c>
      <c r="B246" s="3" t="s">
        <v>1919</v>
      </c>
    </row>
    <row r="247" spans="1:2">
      <c r="A247" s="3" t="s">
        <v>1764</v>
      </c>
      <c r="B247" s="3" t="s">
        <v>1919</v>
      </c>
    </row>
    <row r="248" spans="1:2">
      <c r="A248" s="3" t="s">
        <v>1764</v>
      </c>
      <c r="B248" s="3" t="s">
        <v>1919</v>
      </c>
    </row>
    <row r="249" spans="1:2">
      <c r="A249" s="3" t="s">
        <v>1770</v>
      </c>
      <c r="B249" s="3" t="s">
        <v>1919</v>
      </c>
    </row>
    <row r="250" spans="1:2">
      <c r="A250" s="3" t="s">
        <v>1770</v>
      </c>
      <c r="B250" s="3" t="s">
        <v>1919</v>
      </c>
    </row>
    <row r="251" spans="1:2">
      <c r="A251" s="3" t="s">
        <v>1844</v>
      </c>
      <c r="B251" s="3" t="s">
        <v>1919</v>
      </c>
    </row>
    <row r="252" spans="1:2">
      <c r="A252" s="3" t="s">
        <v>1848</v>
      </c>
      <c r="B252" s="3" t="s">
        <v>1919</v>
      </c>
    </row>
    <row r="253" spans="1:2">
      <c r="A253" s="3" t="s">
        <v>714</v>
      </c>
      <c r="B253" s="3" t="s">
        <v>1919</v>
      </c>
    </row>
    <row r="254" spans="1:2">
      <c r="A254" s="3" t="s">
        <v>89</v>
      </c>
      <c r="B254" s="3" t="s">
        <v>1906</v>
      </c>
    </row>
    <row r="255" spans="1:2">
      <c r="A255" s="3" t="s">
        <v>89</v>
      </c>
      <c r="B255" s="3" t="s">
        <v>1906</v>
      </c>
    </row>
    <row r="256" spans="1:2">
      <c r="A256" s="3" t="s">
        <v>94</v>
      </c>
      <c r="B256" s="3" t="s">
        <v>1906</v>
      </c>
    </row>
    <row r="257" spans="1:2">
      <c r="A257" s="3" t="s">
        <v>94</v>
      </c>
      <c r="B257" s="3" t="s">
        <v>1906</v>
      </c>
    </row>
    <row r="258" spans="1:2">
      <c r="A258" s="3" t="s">
        <v>254</v>
      </c>
      <c r="B258" s="3" t="s">
        <v>1906</v>
      </c>
    </row>
    <row r="259" spans="1:2">
      <c r="A259" s="3" t="s">
        <v>300</v>
      </c>
      <c r="B259" s="3" t="s">
        <v>1906</v>
      </c>
    </row>
    <row r="260" spans="1:2">
      <c r="A260" s="3" t="s">
        <v>513</v>
      </c>
      <c r="B260" s="3" t="s">
        <v>1906</v>
      </c>
    </row>
    <row r="261" spans="1:2">
      <c r="A261" s="3" t="s">
        <v>598</v>
      </c>
      <c r="B261" s="3" t="s">
        <v>1906</v>
      </c>
    </row>
    <row r="262" spans="1:2">
      <c r="A262" s="3" t="s">
        <v>307</v>
      </c>
      <c r="B262" s="3" t="s">
        <v>1906</v>
      </c>
    </row>
    <row r="263" spans="1:2">
      <c r="A263" s="3" t="s">
        <v>502</v>
      </c>
      <c r="B263" s="3" t="s">
        <v>1922</v>
      </c>
    </row>
    <row r="264" spans="1:2">
      <c r="A264" s="3" t="s">
        <v>506</v>
      </c>
      <c r="B264" s="3" t="s">
        <v>1922</v>
      </c>
    </row>
    <row r="265" spans="1:2">
      <c r="A265" s="3" t="s">
        <v>517</v>
      </c>
      <c r="B265" s="3" t="s">
        <v>1922</v>
      </c>
    </row>
    <row r="266" spans="1:2">
      <c r="A266" s="3" t="s">
        <v>528</v>
      </c>
      <c r="B266" s="3" t="s">
        <v>1922</v>
      </c>
    </row>
    <row r="267" spans="1:2">
      <c r="A267" s="3" t="s">
        <v>532</v>
      </c>
      <c r="B267" s="3" t="s">
        <v>1922</v>
      </c>
    </row>
    <row r="268" spans="1:2">
      <c r="A268" s="3" t="s">
        <v>540</v>
      </c>
      <c r="B268" s="3" t="s">
        <v>1922</v>
      </c>
    </row>
    <row r="269" spans="1:2">
      <c r="A269" s="3" t="s">
        <v>548</v>
      </c>
      <c r="B269" s="3" t="s">
        <v>1922</v>
      </c>
    </row>
    <row r="270" spans="1:2">
      <c r="A270" s="3" t="s">
        <v>576</v>
      </c>
      <c r="B270" s="3" t="s">
        <v>1922</v>
      </c>
    </row>
    <row r="271" spans="1:2">
      <c r="A271" s="3" t="s">
        <v>585</v>
      </c>
      <c r="B271" s="3" t="s">
        <v>1922</v>
      </c>
    </row>
    <row r="272" spans="1:2">
      <c r="A272" s="3" t="s">
        <v>618</v>
      </c>
      <c r="B272" s="3" t="s">
        <v>1922</v>
      </c>
    </row>
    <row r="273" spans="1:2">
      <c r="A273" s="3" t="s">
        <v>618</v>
      </c>
      <c r="B273" s="3" t="s">
        <v>1922</v>
      </c>
    </row>
    <row r="274" spans="1:2">
      <c r="A274" s="3" t="s">
        <v>618</v>
      </c>
      <c r="B274" s="3" t="s">
        <v>1922</v>
      </c>
    </row>
    <row r="275" spans="1:2">
      <c r="A275" s="3" t="s">
        <v>643</v>
      </c>
      <c r="B275" s="3" t="s">
        <v>1922</v>
      </c>
    </row>
    <row r="276" spans="1:2">
      <c r="A276" s="3" t="s">
        <v>751</v>
      </c>
      <c r="B276" s="3" t="s">
        <v>1922</v>
      </c>
    </row>
    <row r="277" spans="1:2">
      <c r="A277" s="3" t="s">
        <v>762</v>
      </c>
      <c r="B277" s="3" t="s">
        <v>1922</v>
      </c>
    </row>
    <row r="278" spans="1:2">
      <c r="A278" s="3" t="s">
        <v>782</v>
      </c>
      <c r="B278" s="3" t="s">
        <v>1922</v>
      </c>
    </row>
    <row r="279" spans="1:2">
      <c r="A279" s="3" t="s">
        <v>814</v>
      </c>
      <c r="B279" s="3" t="s">
        <v>1922</v>
      </c>
    </row>
    <row r="280" spans="1:2">
      <c r="A280" s="3" t="s">
        <v>842</v>
      </c>
      <c r="B280" s="3" t="s">
        <v>1922</v>
      </c>
    </row>
    <row r="281" spans="1:2">
      <c r="A281" s="3" t="s">
        <v>940</v>
      </c>
      <c r="B281" s="3" t="s">
        <v>1922</v>
      </c>
    </row>
    <row r="282" spans="1:2">
      <c r="A282" s="3" t="s">
        <v>943</v>
      </c>
      <c r="B282" s="3" t="s">
        <v>1922</v>
      </c>
    </row>
    <row r="283" spans="1:2">
      <c r="A283" s="3" t="s">
        <v>947</v>
      </c>
      <c r="B283" s="3" t="s">
        <v>1922</v>
      </c>
    </row>
    <row r="284" spans="1:2">
      <c r="A284" s="3" t="s">
        <v>951</v>
      </c>
      <c r="B284" s="3" t="s">
        <v>1922</v>
      </c>
    </row>
    <row r="285" spans="1:2">
      <c r="A285" s="3" t="s">
        <v>955</v>
      </c>
      <c r="B285" s="3" t="s">
        <v>1922</v>
      </c>
    </row>
    <row r="286" spans="1:2">
      <c r="A286" s="3" t="s">
        <v>958</v>
      </c>
      <c r="B286" s="3" t="s">
        <v>1922</v>
      </c>
    </row>
    <row r="287" spans="1:2">
      <c r="A287" s="3" t="s">
        <v>961</v>
      </c>
      <c r="B287" s="3" t="s">
        <v>1922</v>
      </c>
    </row>
    <row r="288" spans="1:2">
      <c r="A288" s="3" t="s">
        <v>964</v>
      </c>
      <c r="B288" s="3" t="s">
        <v>1922</v>
      </c>
    </row>
    <row r="289" spans="1:2">
      <c r="A289" s="3" t="s">
        <v>1785</v>
      </c>
      <c r="B289" s="3" t="s">
        <v>1922</v>
      </c>
    </row>
    <row r="290" spans="1:2">
      <c r="A290" s="3" t="s">
        <v>1785</v>
      </c>
      <c r="B290" s="3" t="s">
        <v>1922</v>
      </c>
    </row>
    <row r="291" spans="1:2">
      <c r="A291" s="3" t="s">
        <v>1785</v>
      </c>
      <c r="B291" s="3" t="s">
        <v>1922</v>
      </c>
    </row>
    <row r="292" spans="1:2">
      <c r="A292" s="3" t="s">
        <v>735</v>
      </c>
      <c r="B292" s="3" t="s">
        <v>1931</v>
      </c>
    </row>
    <row r="293" spans="1:2">
      <c r="A293" s="3" t="s">
        <v>739</v>
      </c>
      <c r="B293" s="3" t="s">
        <v>1931</v>
      </c>
    </row>
    <row r="294" spans="1:2">
      <c r="A294" s="3" t="s">
        <v>758</v>
      </c>
      <c r="B294" s="3" t="s">
        <v>1931</v>
      </c>
    </row>
    <row r="295" spans="1:2">
      <c r="A295" s="3" t="s">
        <v>766</v>
      </c>
      <c r="B295" s="3" t="s">
        <v>1931</v>
      </c>
    </row>
    <row r="296" spans="1:2">
      <c r="A296" s="3" t="s">
        <v>770</v>
      </c>
      <c r="B296" s="3" t="s">
        <v>1931</v>
      </c>
    </row>
    <row r="297" spans="1:2">
      <c r="A297" s="3" t="s">
        <v>1012</v>
      </c>
      <c r="B297" s="3" t="s">
        <v>1940</v>
      </c>
    </row>
    <row r="298" spans="1:2">
      <c r="A298" s="3" t="s">
        <v>1083</v>
      </c>
      <c r="B298" s="3" t="s">
        <v>1940</v>
      </c>
    </row>
    <row r="299" spans="1:2">
      <c r="A299" s="3" t="s">
        <v>1089</v>
      </c>
      <c r="B299" s="3" t="s">
        <v>1940</v>
      </c>
    </row>
    <row r="300" spans="1:2">
      <c r="A300" s="3" t="s">
        <v>1852</v>
      </c>
      <c r="B300" s="3" t="s">
        <v>1940</v>
      </c>
    </row>
    <row r="301" spans="1:2">
      <c r="A301" s="3" t="s">
        <v>1864</v>
      </c>
      <c r="B301" s="3" t="s">
        <v>1940</v>
      </c>
    </row>
    <row r="302" spans="1:2">
      <c r="A302" s="3" t="s">
        <v>1899</v>
      </c>
      <c r="B302" s="3" t="s">
        <v>1940</v>
      </c>
    </row>
    <row r="303" spans="1:2">
      <c r="A303" s="3" t="s">
        <v>104</v>
      </c>
      <c r="B303" s="3" t="s">
        <v>1909</v>
      </c>
    </row>
    <row r="304" spans="1:2">
      <c r="A304" s="3" t="s">
        <v>108</v>
      </c>
      <c r="B304" s="3" t="s">
        <v>1909</v>
      </c>
    </row>
    <row r="305" spans="1:2">
      <c r="A305" s="3" t="s">
        <v>698</v>
      </c>
      <c r="B305" s="3" t="s">
        <v>1930</v>
      </c>
    </row>
    <row r="306" spans="1:2">
      <c r="A306" s="3" t="s">
        <v>706</v>
      </c>
      <c r="B306" s="3" t="s">
        <v>1930</v>
      </c>
    </row>
    <row r="307" spans="1:2">
      <c r="A307" s="3" t="s">
        <v>1936</v>
      </c>
      <c r="B307" s="3" t="s">
        <v>1930</v>
      </c>
    </row>
    <row r="308" spans="1:2">
      <c r="A308" s="3" t="s">
        <v>993</v>
      </c>
      <c r="B308" s="3" t="s">
        <v>1930</v>
      </c>
    </row>
    <row r="309" spans="1:2">
      <c r="A309" s="3" t="s">
        <v>1632</v>
      </c>
      <c r="B309" s="3" t="s">
        <v>1930</v>
      </c>
    </row>
    <row r="310" spans="1:2">
      <c r="A310" s="3" t="s">
        <v>1649</v>
      </c>
      <c r="B310" s="3" t="s">
        <v>1930</v>
      </c>
    </row>
    <row r="311" spans="1:2">
      <c r="A311" s="3" t="s">
        <v>875</v>
      </c>
      <c r="B311" s="3" t="s">
        <v>1930</v>
      </c>
    </row>
    <row r="312" spans="1:2">
      <c r="A312" s="3" t="s">
        <v>1001</v>
      </c>
      <c r="B312" s="3" t="s">
        <v>1930</v>
      </c>
    </row>
    <row r="313" spans="1:2">
      <c r="A313" s="3" t="s">
        <v>694</v>
      </c>
      <c r="B313" s="3" t="s">
        <v>1929</v>
      </c>
    </row>
    <row r="314" spans="1:2">
      <c r="A314" s="3" t="s">
        <v>702</v>
      </c>
      <c r="B314" s="3" t="s">
        <v>1929</v>
      </c>
    </row>
    <row r="315" spans="1:2">
      <c r="A315" s="3" t="s">
        <v>997</v>
      </c>
      <c r="B315" s="3" t="s">
        <v>1929</v>
      </c>
    </row>
    <row r="316" spans="1:2">
      <c r="A316" s="3" t="s">
        <v>1628</v>
      </c>
      <c r="B316" s="3" t="s">
        <v>1929</v>
      </c>
    </row>
    <row r="317" spans="1:2">
      <c r="A317" s="3" t="s">
        <v>1636</v>
      </c>
      <c r="B317" s="3" t="s">
        <v>1929</v>
      </c>
    </row>
    <row r="318" spans="1:2">
      <c r="A318" s="3" t="s">
        <v>1640</v>
      </c>
      <c r="B318" s="3" t="s">
        <v>1929</v>
      </c>
    </row>
    <row r="319" spans="1:2">
      <c r="A319" s="3" t="s">
        <v>870</v>
      </c>
      <c r="B319" s="3" t="s">
        <v>1929</v>
      </c>
    </row>
    <row r="320" spans="1:2">
      <c r="A320" s="3" t="s">
        <v>1005</v>
      </c>
      <c r="B320" s="3" t="s">
        <v>1929</v>
      </c>
    </row>
    <row r="321" spans="1:2">
      <c r="A321" s="3" t="s">
        <v>510</v>
      </c>
      <c r="B321" s="3" t="s">
        <v>1923</v>
      </c>
    </row>
    <row r="322" spans="1:2">
      <c r="A322" s="3" t="s">
        <v>521</v>
      </c>
      <c r="B322" s="3" t="s">
        <v>1923</v>
      </c>
    </row>
    <row r="323" spans="1:2">
      <c r="A323" s="3" t="s">
        <v>525</v>
      </c>
      <c r="B323" s="3" t="s">
        <v>1923</v>
      </c>
    </row>
    <row r="324" spans="1:2">
      <c r="A324" s="3" t="s">
        <v>537</v>
      </c>
      <c r="B324" s="3" t="s">
        <v>1923</v>
      </c>
    </row>
    <row r="325" spans="1:2">
      <c r="A325" s="3" t="s">
        <v>630</v>
      </c>
      <c r="B325" s="3" t="s">
        <v>1923</v>
      </c>
    </row>
    <row r="326" spans="1:2">
      <c r="A326" s="3" t="s">
        <v>634</v>
      </c>
      <c r="B326" s="3" t="s">
        <v>1923</v>
      </c>
    </row>
    <row r="327" spans="1:2">
      <c r="A327" s="3" t="s">
        <v>657</v>
      </c>
      <c r="B327" s="3" t="s">
        <v>1923</v>
      </c>
    </row>
    <row r="328" spans="1:2">
      <c r="A328" s="3" t="s">
        <v>802</v>
      </c>
      <c r="B328" s="3" t="s">
        <v>1923</v>
      </c>
    </row>
    <row r="329" spans="1:2">
      <c r="A329" s="3" t="s">
        <v>832</v>
      </c>
      <c r="B329" s="3" t="s">
        <v>1923</v>
      </c>
    </row>
    <row r="330" spans="1:2">
      <c r="A330" s="3" t="s">
        <v>851</v>
      </c>
      <c r="B330" s="3" t="s">
        <v>1923</v>
      </c>
    </row>
    <row r="331" spans="1:2">
      <c r="A331" s="3" t="s">
        <v>867</v>
      </c>
      <c r="B331" s="3" t="s">
        <v>1923</v>
      </c>
    </row>
    <row r="332" spans="1:2">
      <c r="A332" s="3" t="s">
        <v>1644</v>
      </c>
      <c r="B332" s="3" t="s">
        <v>1923</v>
      </c>
    </row>
    <row r="333" spans="1:2">
      <c r="A333" s="3" t="s">
        <v>135</v>
      </c>
      <c r="B333" s="3" t="s">
        <v>1958</v>
      </c>
    </row>
    <row r="334" spans="1:2">
      <c r="A334" s="3" t="s">
        <v>139</v>
      </c>
      <c r="B334" s="3" t="s">
        <v>1958</v>
      </c>
    </row>
    <row r="335" spans="1:2">
      <c r="A335" s="3" t="s">
        <v>143</v>
      </c>
      <c r="B335" s="3" t="s">
        <v>1958</v>
      </c>
    </row>
    <row r="336" spans="1:2">
      <c r="A336" s="3" t="s">
        <v>147</v>
      </c>
      <c r="B336" s="3" t="s">
        <v>1958</v>
      </c>
    </row>
    <row r="337" spans="1:2">
      <c r="A337" s="3" t="s">
        <v>151</v>
      </c>
      <c r="B337" s="3" t="s">
        <v>1958</v>
      </c>
    </row>
    <row r="338" spans="1:2">
      <c r="A338" s="3" t="s">
        <v>154</v>
      </c>
      <c r="B338" s="3" t="s">
        <v>1958</v>
      </c>
    </row>
    <row r="339" spans="1:2">
      <c r="A339" s="3" t="s">
        <v>156</v>
      </c>
      <c r="B339" s="3" t="s">
        <v>1958</v>
      </c>
    </row>
    <row r="340" spans="1:2">
      <c r="A340" s="3" t="s">
        <v>160</v>
      </c>
      <c r="B340" s="3" t="s">
        <v>1958</v>
      </c>
    </row>
    <row r="341" spans="1:2">
      <c r="A341" s="3" t="s">
        <v>164</v>
      </c>
      <c r="B341" s="3" t="s">
        <v>1958</v>
      </c>
    </row>
    <row r="342" spans="1:2">
      <c r="A342" s="3" t="s">
        <v>169</v>
      </c>
      <c r="B342" s="3" t="s">
        <v>1958</v>
      </c>
    </row>
    <row r="343" spans="1:2">
      <c r="A343" s="3" t="s">
        <v>173</v>
      </c>
      <c r="B343" s="3" t="s">
        <v>1958</v>
      </c>
    </row>
    <row r="344" spans="1:2">
      <c r="A344" s="3" t="s">
        <v>180</v>
      </c>
      <c r="B344" s="3" t="s">
        <v>1958</v>
      </c>
    </row>
    <row r="345" spans="1:2">
      <c r="A345" s="3" t="s">
        <v>240</v>
      </c>
      <c r="B345" s="3" t="s">
        <v>1958</v>
      </c>
    </row>
    <row r="346" spans="1:2">
      <c r="A346" s="3" t="s">
        <v>907</v>
      </c>
      <c r="B346" s="3" t="s">
        <v>1958</v>
      </c>
    </row>
    <row r="347" spans="1:2">
      <c r="A347" s="3" t="s">
        <v>915</v>
      </c>
      <c r="B347" s="3" t="s">
        <v>1958</v>
      </c>
    </row>
    <row r="348" spans="1:2">
      <c r="A348" s="3" t="s">
        <v>1157</v>
      </c>
      <c r="B348" s="3" t="s">
        <v>1958</v>
      </c>
    </row>
    <row r="349" spans="1:2">
      <c r="A349" s="3" t="s">
        <v>1157</v>
      </c>
      <c r="B349" s="3" t="s">
        <v>1958</v>
      </c>
    </row>
    <row r="350" spans="1:2">
      <c r="A350" s="3" t="s">
        <v>1292</v>
      </c>
      <c r="B350" s="3" t="s">
        <v>1958</v>
      </c>
    </row>
    <row r="351" spans="1:2">
      <c r="A351" s="3" t="s">
        <v>1292</v>
      </c>
      <c r="B351" s="3" t="s">
        <v>1958</v>
      </c>
    </row>
    <row r="352" spans="1:2">
      <c r="A352" s="3" t="s">
        <v>1405</v>
      </c>
      <c r="B352" s="3" t="s">
        <v>1958</v>
      </c>
    </row>
    <row r="353" spans="1:2">
      <c r="A353" s="3" t="s">
        <v>1431</v>
      </c>
      <c r="B353" s="3" t="s">
        <v>1958</v>
      </c>
    </row>
    <row r="354" spans="1:2">
      <c r="A354" s="3" t="s">
        <v>1457</v>
      </c>
      <c r="B354" s="3" t="s">
        <v>1958</v>
      </c>
    </row>
    <row r="355" spans="1:2">
      <c r="A355" s="3" t="s">
        <v>1457</v>
      </c>
      <c r="B355" s="3" t="s">
        <v>1958</v>
      </c>
    </row>
    <row r="356" spans="1:2">
      <c r="A356" s="3" t="s">
        <v>1157</v>
      </c>
      <c r="B356" s="3" t="s">
        <v>1958</v>
      </c>
    </row>
    <row r="357" spans="1:2">
      <c r="A357" s="3" t="s">
        <v>1292</v>
      </c>
      <c r="B357" s="3" t="s">
        <v>1958</v>
      </c>
    </row>
    <row r="358" spans="1:2">
      <c r="A358" s="3" t="s">
        <v>167</v>
      </c>
      <c r="B358" s="3" t="s">
        <v>1958</v>
      </c>
    </row>
    <row r="359" spans="1:2">
      <c r="A359" s="3" t="s">
        <v>238</v>
      </c>
      <c r="B359" s="3" t="s">
        <v>1958</v>
      </c>
    </row>
    <row r="360" spans="1:2">
      <c r="A360" s="3" t="s">
        <v>339</v>
      </c>
      <c r="B360" s="3" t="s">
        <v>1958</v>
      </c>
    </row>
    <row r="361" spans="1:2">
      <c r="A361" s="3" t="s">
        <v>342</v>
      </c>
      <c r="B361" s="3" t="s">
        <v>1958</v>
      </c>
    </row>
    <row r="362" spans="1:2">
      <c r="A362" s="3" t="s">
        <v>343</v>
      </c>
      <c r="B362" s="3" t="s">
        <v>1958</v>
      </c>
    </row>
    <row r="363" spans="1:2">
      <c r="A363" s="3" t="s">
        <v>345</v>
      </c>
      <c r="B363" s="3" t="s">
        <v>1958</v>
      </c>
    </row>
    <row r="364" spans="1:2">
      <c r="A364" s="3" t="s">
        <v>908</v>
      </c>
      <c r="B364" s="3" t="s">
        <v>1958</v>
      </c>
    </row>
    <row r="365" spans="1:2">
      <c r="A365" s="3" t="s">
        <v>909</v>
      </c>
      <c r="B365" s="3" t="s">
        <v>1958</v>
      </c>
    </row>
    <row r="366" spans="1:2">
      <c r="A366" s="3" t="s">
        <v>1168</v>
      </c>
      <c r="B366" s="3" t="s">
        <v>1958</v>
      </c>
    </row>
    <row r="367" spans="1:2">
      <c r="A367" s="3" t="s">
        <v>1290</v>
      </c>
      <c r="B367" s="3" t="s">
        <v>1958</v>
      </c>
    </row>
    <row r="368" spans="1:2">
      <c r="A368" s="3" t="s">
        <v>1466</v>
      </c>
      <c r="B368" s="3" t="s">
        <v>1958</v>
      </c>
    </row>
    <row r="369" spans="1:2">
      <c r="A369" s="3" t="s">
        <v>1515</v>
      </c>
      <c r="B369" s="3" t="s">
        <v>1958</v>
      </c>
    </row>
    <row r="370" spans="1:2">
      <c r="A370" s="3" t="s">
        <v>1559</v>
      </c>
      <c r="B370" s="3" t="s">
        <v>1958</v>
      </c>
    </row>
    <row r="371" spans="1:2">
      <c r="A371" s="3" t="s">
        <v>1799</v>
      </c>
      <c r="B371" s="3" t="s">
        <v>1958</v>
      </c>
    </row>
    <row r="372" spans="1:2">
      <c r="A372" s="3" t="s">
        <v>1739</v>
      </c>
      <c r="B372" s="3" t="s">
        <v>1959</v>
      </c>
    </row>
    <row r="373" spans="1:2">
      <c r="A373" s="3" t="s">
        <v>1241</v>
      </c>
      <c r="B373" s="3" t="s">
        <v>1959</v>
      </c>
    </row>
    <row r="374" spans="1:2">
      <c r="A374" s="3" t="s">
        <v>116</v>
      </c>
      <c r="B374" s="3" t="s">
        <v>1960</v>
      </c>
    </row>
    <row r="375" spans="1:2">
      <c r="A375" s="3" t="s">
        <v>122</v>
      </c>
      <c r="B375" s="3" t="s">
        <v>1960</v>
      </c>
    </row>
    <row r="376" spans="1:2">
      <c r="A376" s="3" t="s">
        <v>127</v>
      </c>
      <c r="B376" s="3" t="s">
        <v>1960</v>
      </c>
    </row>
    <row r="377" spans="1:2">
      <c r="A377" s="3" t="s">
        <v>127</v>
      </c>
      <c r="B377" s="3" t="s">
        <v>1960</v>
      </c>
    </row>
    <row r="378" spans="1:2">
      <c r="A378" s="3" t="s">
        <v>193</v>
      </c>
      <c r="B378" s="3" t="s">
        <v>1960</v>
      </c>
    </row>
    <row r="379" spans="1:2">
      <c r="A379" s="3" t="s">
        <v>210</v>
      </c>
      <c r="B379" s="3" t="s">
        <v>1960</v>
      </c>
    </row>
    <row r="380" spans="1:2">
      <c r="A380" s="3" t="s">
        <v>214</v>
      </c>
      <c r="B380" s="3" t="s">
        <v>1960</v>
      </c>
    </row>
    <row r="381" spans="1:2">
      <c r="A381" s="3" t="s">
        <v>218</v>
      </c>
      <c r="B381" s="3" t="s">
        <v>1960</v>
      </c>
    </row>
    <row r="382" spans="1:2">
      <c r="A382" s="3" t="s">
        <v>227</v>
      </c>
      <c r="B382" s="3" t="s">
        <v>1960</v>
      </c>
    </row>
    <row r="383" spans="1:2">
      <c r="A383" s="3" t="s">
        <v>231</v>
      </c>
      <c r="B383" s="3" t="s">
        <v>1960</v>
      </c>
    </row>
    <row r="384" spans="1:2">
      <c r="A384" s="3" t="s">
        <v>127</v>
      </c>
      <c r="B384" s="3" t="s">
        <v>1960</v>
      </c>
    </row>
    <row r="385" spans="1:2">
      <c r="A385" s="3" t="s">
        <v>127</v>
      </c>
      <c r="B385" s="3" t="s">
        <v>1960</v>
      </c>
    </row>
    <row r="386" spans="1:2">
      <c r="A386" s="3" t="s">
        <v>127</v>
      </c>
      <c r="B386" s="3" t="s">
        <v>1960</v>
      </c>
    </row>
    <row r="387" spans="1:2">
      <c r="A387" s="3" t="s">
        <v>416</v>
      </c>
      <c r="B387" s="3" t="s">
        <v>1960</v>
      </c>
    </row>
    <row r="388" spans="1:2">
      <c r="A388" s="3" t="s">
        <v>416</v>
      </c>
      <c r="B388" s="3" t="s">
        <v>1960</v>
      </c>
    </row>
    <row r="389" spans="1:2">
      <c r="A389" s="3" t="s">
        <v>421</v>
      </c>
      <c r="B389" s="3" t="s">
        <v>1960</v>
      </c>
    </row>
    <row r="390" spans="1:2">
      <c r="A390" s="3" t="s">
        <v>425</v>
      </c>
      <c r="B390" s="3" t="s">
        <v>1960</v>
      </c>
    </row>
    <row r="391" spans="1:2">
      <c r="A391" s="3" t="s">
        <v>888</v>
      </c>
      <c r="B391" s="3" t="s">
        <v>1960</v>
      </c>
    </row>
    <row r="392" spans="1:2">
      <c r="A392" s="3" t="s">
        <v>893</v>
      </c>
      <c r="B392" s="3" t="s">
        <v>1960</v>
      </c>
    </row>
    <row r="393" spans="1:2">
      <c r="A393" s="3" t="s">
        <v>893</v>
      </c>
      <c r="B393" s="3" t="s">
        <v>1960</v>
      </c>
    </row>
    <row r="394" spans="1:2">
      <c r="A394" s="3" t="s">
        <v>898</v>
      </c>
      <c r="B394" s="3" t="s">
        <v>1960</v>
      </c>
    </row>
    <row r="395" spans="1:2">
      <c r="A395" s="3" t="s">
        <v>902</v>
      </c>
      <c r="B395" s="3" t="s">
        <v>1960</v>
      </c>
    </row>
    <row r="396" spans="1:2">
      <c r="A396" s="3" t="s">
        <v>902</v>
      </c>
      <c r="B396" s="3" t="s">
        <v>1960</v>
      </c>
    </row>
    <row r="397" spans="1:2">
      <c r="A397" s="3" t="s">
        <v>902</v>
      </c>
      <c r="B397" s="3" t="s">
        <v>1960</v>
      </c>
    </row>
    <row r="398" spans="1:2">
      <c r="A398" s="3" t="s">
        <v>911</v>
      </c>
      <c r="B398" s="3" t="s">
        <v>1960</v>
      </c>
    </row>
    <row r="399" spans="1:2">
      <c r="A399" s="3" t="s">
        <v>923</v>
      </c>
      <c r="B399" s="3" t="s">
        <v>1960</v>
      </c>
    </row>
    <row r="400" spans="1:2">
      <c r="A400" s="3" t="s">
        <v>1046</v>
      </c>
      <c r="B400" s="3" t="s">
        <v>1960</v>
      </c>
    </row>
    <row r="401" spans="1:2">
      <c r="A401" s="3" t="s">
        <v>1096</v>
      </c>
      <c r="B401" s="3" t="s">
        <v>1960</v>
      </c>
    </row>
    <row r="402" spans="1:2">
      <c r="A402" s="3" t="s">
        <v>1100</v>
      </c>
      <c r="B402" s="3" t="s">
        <v>1960</v>
      </c>
    </row>
    <row r="403" spans="1:2">
      <c r="A403" s="3" t="s">
        <v>1116</v>
      </c>
      <c r="B403" s="3" t="s">
        <v>1960</v>
      </c>
    </row>
    <row r="404" spans="1:2">
      <c r="A404" s="3" t="s">
        <v>1120</v>
      </c>
      <c r="B404" s="3" t="s">
        <v>1960</v>
      </c>
    </row>
    <row r="405" spans="1:2">
      <c r="A405" s="3" t="s">
        <v>1124</v>
      </c>
      <c r="B405" s="3" t="s">
        <v>1960</v>
      </c>
    </row>
    <row r="406" spans="1:2">
      <c r="A406" s="3" t="s">
        <v>1151</v>
      </c>
      <c r="B406" s="3" t="s">
        <v>1960</v>
      </c>
    </row>
    <row r="407" spans="1:2">
      <c r="A407" s="3" t="s">
        <v>1046</v>
      </c>
      <c r="B407" s="3" t="s">
        <v>1960</v>
      </c>
    </row>
    <row r="408" spans="1:2">
      <c r="A408" s="3" t="s">
        <v>1046</v>
      </c>
      <c r="B408" s="3" t="s">
        <v>1960</v>
      </c>
    </row>
    <row r="409" spans="1:2">
      <c r="A409" s="3" t="s">
        <v>1218</v>
      </c>
      <c r="B409" s="3" t="s">
        <v>1960</v>
      </c>
    </row>
    <row r="410" spans="1:2">
      <c r="A410" s="3" t="s">
        <v>1226</v>
      </c>
      <c r="B410" s="3" t="s">
        <v>1960</v>
      </c>
    </row>
    <row r="411" spans="1:2">
      <c r="A411" s="3" t="s">
        <v>1234</v>
      </c>
      <c r="B411" s="3" t="s">
        <v>1960</v>
      </c>
    </row>
    <row r="412" spans="1:2">
      <c r="A412" s="3" t="s">
        <v>1238</v>
      </c>
      <c r="B412" s="3" t="s">
        <v>1960</v>
      </c>
    </row>
    <row r="413" spans="1:2">
      <c r="A413" s="3" t="s">
        <v>1151</v>
      </c>
      <c r="B413" s="3" t="s">
        <v>1960</v>
      </c>
    </row>
    <row r="414" spans="1:2">
      <c r="A414" s="3" t="s">
        <v>1151</v>
      </c>
      <c r="B414" s="3" t="s">
        <v>1960</v>
      </c>
    </row>
    <row r="415" spans="1:2">
      <c r="A415" s="3" t="s">
        <v>1151</v>
      </c>
      <c r="B415" s="3" t="s">
        <v>1960</v>
      </c>
    </row>
    <row r="416" spans="1:2">
      <c r="A416" s="3" t="s">
        <v>1272</v>
      </c>
      <c r="B416" s="3" t="s">
        <v>1960</v>
      </c>
    </row>
    <row r="417" spans="1:2">
      <c r="A417" s="3" t="s">
        <v>1272</v>
      </c>
      <c r="B417" s="3" t="s">
        <v>1960</v>
      </c>
    </row>
    <row r="418" spans="1:2">
      <c r="A418" s="3" t="s">
        <v>1272</v>
      </c>
      <c r="B418" s="3" t="s">
        <v>1960</v>
      </c>
    </row>
    <row r="419" spans="1:2">
      <c r="A419" s="3" t="s">
        <v>1282</v>
      </c>
      <c r="B419" s="3" t="s">
        <v>1960</v>
      </c>
    </row>
    <row r="420" spans="1:2">
      <c r="A420" s="3" t="s">
        <v>1286</v>
      </c>
      <c r="B420" s="3" t="s">
        <v>1960</v>
      </c>
    </row>
    <row r="421" spans="1:2">
      <c r="A421" s="3" t="s">
        <v>1046</v>
      </c>
      <c r="B421" s="3" t="s">
        <v>1960</v>
      </c>
    </row>
    <row r="422" spans="1:2">
      <c r="A422" s="3" t="s">
        <v>1046</v>
      </c>
      <c r="B422" s="3" t="s">
        <v>1960</v>
      </c>
    </row>
    <row r="423" spans="1:2">
      <c r="A423" s="3" t="s">
        <v>1299</v>
      </c>
      <c r="B423" s="3" t="s">
        <v>1960</v>
      </c>
    </row>
    <row r="424" spans="1:2">
      <c r="A424" s="3" t="s">
        <v>1299</v>
      </c>
      <c r="B424" s="3" t="s">
        <v>1960</v>
      </c>
    </row>
    <row r="425" spans="1:2">
      <c r="A425" s="3" t="s">
        <v>1272</v>
      </c>
      <c r="B425" s="3" t="s">
        <v>1960</v>
      </c>
    </row>
    <row r="426" spans="1:2">
      <c r="A426" s="3" t="s">
        <v>1299</v>
      </c>
      <c r="B426" s="3" t="s">
        <v>1960</v>
      </c>
    </row>
    <row r="427" spans="1:2">
      <c r="A427" s="3" t="s">
        <v>1306</v>
      </c>
      <c r="B427" s="3" t="s">
        <v>1960</v>
      </c>
    </row>
    <row r="428" spans="1:2">
      <c r="A428" s="3" t="s">
        <v>1151</v>
      </c>
      <c r="B428" s="3" t="s">
        <v>1960</v>
      </c>
    </row>
    <row r="429" spans="1:2">
      <c r="A429" s="3" t="s">
        <v>1286</v>
      </c>
      <c r="B429" s="3" t="s">
        <v>1960</v>
      </c>
    </row>
    <row r="430" spans="1:2">
      <c r="A430" s="3" t="s">
        <v>1316</v>
      </c>
      <c r="B430" s="3" t="s">
        <v>1960</v>
      </c>
    </row>
    <row r="431" spans="1:2">
      <c r="A431" s="3" t="s">
        <v>1316</v>
      </c>
      <c r="B431" s="3" t="s">
        <v>1960</v>
      </c>
    </row>
    <row r="432" spans="1:2">
      <c r="A432" s="3" t="s">
        <v>1316</v>
      </c>
      <c r="B432" s="3" t="s">
        <v>1960</v>
      </c>
    </row>
    <row r="433" spans="1:2">
      <c r="A433" s="3" t="s">
        <v>1316</v>
      </c>
      <c r="B433" s="3" t="s">
        <v>1960</v>
      </c>
    </row>
    <row r="434" spans="1:2">
      <c r="A434" s="3" t="s">
        <v>1316</v>
      </c>
      <c r="B434" s="3" t="s">
        <v>1960</v>
      </c>
    </row>
    <row r="435" spans="1:2">
      <c r="A435" s="3" t="s">
        <v>1316</v>
      </c>
      <c r="B435" s="3" t="s">
        <v>1960</v>
      </c>
    </row>
    <row r="436" spans="1:2">
      <c r="A436" s="3" t="s">
        <v>1316</v>
      </c>
      <c r="B436" s="3" t="s">
        <v>1960</v>
      </c>
    </row>
    <row r="437" spans="1:2">
      <c r="A437" s="3" t="s">
        <v>1218</v>
      </c>
      <c r="B437" s="3" t="s">
        <v>1960</v>
      </c>
    </row>
    <row r="438" spans="1:2">
      <c r="A438" s="3" t="s">
        <v>1218</v>
      </c>
      <c r="B438" s="3" t="s">
        <v>1960</v>
      </c>
    </row>
    <row r="439" spans="1:2">
      <c r="A439" s="3" t="s">
        <v>1046</v>
      </c>
      <c r="B439" s="3" t="s">
        <v>1960</v>
      </c>
    </row>
    <row r="440" spans="1:2">
      <c r="A440" s="3" t="s">
        <v>1046</v>
      </c>
      <c r="B440" s="3" t="s">
        <v>1960</v>
      </c>
    </row>
    <row r="441" spans="1:2">
      <c r="A441" s="3" t="s">
        <v>1337</v>
      </c>
      <c r="B441" s="3" t="s">
        <v>1960</v>
      </c>
    </row>
    <row r="442" spans="1:2">
      <c r="A442" s="3" t="s">
        <v>1316</v>
      </c>
      <c r="B442" s="3" t="s">
        <v>1960</v>
      </c>
    </row>
    <row r="443" spans="1:2">
      <c r="A443" s="3" t="s">
        <v>1151</v>
      </c>
      <c r="B443" s="3" t="s">
        <v>1960</v>
      </c>
    </row>
    <row r="444" spans="1:2">
      <c r="A444" s="3" t="s">
        <v>1282</v>
      </c>
      <c r="B444" s="3" t="s">
        <v>1960</v>
      </c>
    </row>
    <row r="445" spans="1:2">
      <c r="A445" s="3" t="s">
        <v>1344</v>
      </c>
      <c r="B445" s="3" t="s">
        <v>1960</v>
      </c>
    </row>
    <row r="446" spans="1:2">
      <c r="A446" s="3" t="s">
        <v>1348</v>
      </c>
      <c r="B446" s="3" t="s">
        <v>1960</v>
      </c>
    </row>
    <row r="447" spans="1:2">
      <c r="A447" s="3" t="s">
        <v>1396</v>
      </c>
      <c r="B447" s="3" t="s">
        <v>1960</v>
      </c>
    </row>
    <row r="448" spans="1:2">
      <c r="A448" s="3" t="s">
        <v>1409</v>
      </c>
      <c r="B448" s="3" t="s">
        <v>1960</v>
      </c>
    </row>
    <row r="449" spans="1:2">
      <c r="A449" s="3" t="s">
        <v>1413</v>
      </c>
      <c r="B449" s="3" t="s">
        <v>1960</v>
      </c>
    </row>
    <row r="450" spans="1:2">
      <c r="A450" s="3" t="s">
        <v>1507</v>
      </c>
      <c r="B450" s="3" t="s">
        <v>1960</v>
      </c>
    </row>
    <row r="451" spans="1:2">
      <c r="A451" s="3" t="s">
        <v>1507</v>
      </c>
      <c r="B451" s="3" t="s">
        <v>1960</v>
      </c>
    </row>
    <row r="452" spans="1:2">
      <c r="A452" s="3" t="s">
        <v>1555</v>
      </c>
      <c r="B452" s="3" t="s">
        <v>1960</v>
      </c>
    </row>
    <row r="453" spans="1:2">
      <c r="A453" s="3" t="s">
        <v>1555</v>
      </c>
      <c r="B453" s="3" t="s">
        <v>1960</v>
      </c>
    </row>
    <row r="454" spans="1:2">
      <c r="A454" s="3" t="s">
        <v>1566</v>
      </c>
      <c r="B454" s="3" t="s">
        <v>1960</v>
      </c>
    </row>
    <row r="455" spans="1:2">
      <c r="A455" s="3" t="s">
        <v>1595</v>
      </c>
      <c r="B455" s="3" t="s">
        <v>1960</v>
      </c>
    </row>
    <row r="456" spans="1:2">
      <c r="A456" s="3" t="s">
        <v>1718</v>
      </c>
      <c r="B456" s="3" t="s">
        <v>1960</v>
      </c>
    </row>
    <row r="457" spans="1:2">
      <c r="A457" s="3" t="s">
        <v>416</v>
      </c>
      <c r="B457" s="3" t="s">
        <v>1960</v>
      </c>
    </row>
    <row r="458" spans="1:2">
      <c r="A458" s="3" t="s">
        <v>416</v>
      </c>
      <c r="B458" s="3" t="s">
        <v>1960</v>
      </c>
    </row>
    <row r="459" spans="1:2">
      <c r="A459" s="3" t="s">
        <v>1872</v>
      </c>
      <c r="B459" s="3" t="s">
        <v>1960</v>
      </c>
    </row>
    <row r="460" spans="1:2">
      <c r="A460" s="3" t="s">
        <v>1876</v>
      </c>
      <c r="B460" s="3" t="s">
        <v>1960</v>
      </c>
    </row>
    <row r="461" spans="1:2">
      <c r="A461" s="3" t="s">
        <v>409</v>
      </c>
      <c r="B461" s="3" t="s">
        <v>1960</v>
      </c>
    </row>
    <row r="462" spans="1:2">
      <c r="A462" s="3" t="s">
        <v>1881</v>
      </c>
      <c r="B462" s="3" t="s">
        <v>1960</v>
      </c>
    </row>
    <row r="463" spans="1:2">
      <c r="A463" s="3" t="s">
        <v>1891</v>
      </c>
      <c r="B463" s="3" t="s">
        <v>1960</v>
      </c>
    </row>
    <row r="464" spans="1:2">
      <c r="A464" s="3" t="s">
        <v>125</v>
      </c>
      <c r="B464" s="3" t="s">
        <v>1960</v>
      </c>
    </row>
    <row r="465" spans="1:2">
      <c r="A465" s="3" t="s">
        <v>134</v>
      </c>
      <c r="B465" s="3" t="s">
        <v>1960</v>
      </c>
    </row>
    <row r="466" spans="1:2">
      <c r="A466" s="3" t="s">
        <v>413</v>
      </c>
      <c r="B466" s="3" t="s">
        <v>1960</v>
      </c>
    </row>
    <row r="467" spans="1:2">
      <c r="A467" s="3" t="s">
        <v>414</v>
      </c>
      <c r="B467" s="3" t="s">
        <v>1960</v>
      </c>
    </row>
    <row r="468" spans="1:2">
      <c r="A468" s="3" t="s">
        <v>1131</v>
      </c>
      <c r="B468" s="3" t="s">
        <v>1960</v>
      </c>
    </row>
    <row r="469" spans="1:2">
      <c r="A469" s="3" t="s">
        <v>1326</v>
      </c>
      <c r="B469" s="3" t="s">
        <v>1960</v>
      </c>
    </row>
    <row r="470" spans="1:2">
      <c r="A470" s="3" t="s">
        <v>1356</v>
      </c>
      <c r="B470" s="3" t="s">
        <v>1960</v>
      </c>
    </row>
    <row r="471" spans="1:2">
      <c r="A471" s="3" t="s">
        <v>1360</v>
      </c>
      <c r="B471" s="3" t="s">
        <v>1960</v>
      </c>
    </row>
    <row r="472" spans="1:2">
      <c r="A472" s="3" t="s">
        <v>1364</v>
      </c>
      <c r="B472" s="3" t="s">
        <v>1960</v>
      </c>
    </row>
    <row r="473" spans="1:2">
      <c r="A473" s="3" t="s">
        <v>1368</v>
      </c>
      <c r="B473" s="3" t="s">
        <v>1960</v>
      </c>
    </row>
    <row r="474" spans="1:2">
      <c r="A474" s="3" t="s">
        <v>1399</v>
      </c>
      <c r="B474" s="3" t="s">
        <v>1960</v>
      </c>
    </row>
    <row r="475" spans="1:2">
      <c r="A475" s="3" t="s">
        <v>1427</v>
      </c>
      <c r="B475" s="3" t="s">
        <v>1960</v>
      </c>
    </row>
    <row r="476" spans="1:2">
      <c r="A476" s="3" t="s">
        <v>63</v>
      </c>
      <c r="B476" s="2" t="s">
        <v>1961</v>
      </c>
    </row>
    <row r="477" spans="1:2">
      <c r="A477" s="3" t="s">
        <v>111</v>
      </c>
      <c r="B477" s="2" t="s">
        <v>1961</v>
      </c>
    </row>
    <row r="478" spans="1:2">
      <c r="A478" s="3" t="s">
        <v>202</v>
      </c>
      <c r="B478" s="2" t="s">
        <v>1961</v>
      </c>
    </row>
    <row r="479" spans="1:2">
      <c r="A479" s="3" t="s">
        <v>131</v>
      </c>
      <c r="B479" s="2" t="s">
        <v>1961</v>
      </c>
    </row>
    <row r="480" spans="1:2">
      <c r="A480" s="3" t="s">
        <v>184</v>
      </c>
      <c r="B480" s="2" t="s">
        <v>1961</v>
      </c>
    </row>
    <row r="481" spans="1:2">
      <c r="A481" s="3" t="s">
        <v>188</v>
      </c>
      <c r="B481" s="2" t="s">
        <v>1961</v>
      </c>
    </row>
    <row r="482" spans="1:2">
      <c r="A482" s="3" t="s">
        <v>206</v>
      </c>
      <c r="B482" s="2" t="s">
        <v>1961</v>
      </c>
    </row>
    <row r="483" spans="1:2">
      <c r="A483" s="3" t="s">
        <v>222</v>
      </c>
      <c r="B483" s="2" t="s">
        <v>1961</v>
      </c>
    </row>
    <row r="484" spans="1:2">
      <c r="A484" s="3" t="s">
        <v>927</v>
      </c>
      <c r="B484" s="2" t="s">
        <v>1961</v>
      </c>
    </row>
    <row r="485" spans="1:2">
      <c r="A485" s="3" t="s">
        <v>927</v>
      </c>
      <c r="B485" s="2" t="s">
        <v>1961</v>
      </c>
    </row>
    <row r="486" spans="1:2">
      <c r="A486" s="3" t="s">
        <v>1042</v>
      </c>
      <c r="B486" s="2" t="s">
        <v>1961</v>
      </c>
    </row>
    <row r="487" spans="1:2">
      <c r="A487" s="3" t="s">
        <v>1050</v>
      </c>
      <c r="B487" s="2" t="s">
        <v>1961</v>
      </c>
    </row>
    <row r="488" spans="1:2">
      <c r="A488" s="3" t="s">
        <v>1053</v>
      </c>
      <c r="B488" s="2" t="s">
        <v>1961</v>
      </c>
    </row>
    <row r="489" spans="1:2">
      <c r="A489" s="3" t="s">
        <v>63</v>
      </c>
      <c r="B489" s="2" t="s">
        <v>1961</v>
      </c>
    </row>
    <row r="490" spans="1:2">
      <c r="A490" s="3" t="s">
        <v>1060</v>
      </c>
      <c r="B490" s="2" t="s">
        <v>1961</v>
      </c>
    </row>
    <row r="491" spans="1:2">
      <c r="A491" s="3" t="s">
        <v>1064</v>
      </c>
      <c r="B491" s="2" t="s">
        <v>1961</v>
      </c>
    </row>
    <row r="492" spans="1:2">
      <c r="A492" s="3" t="s">
        <v>1104</v>
      </c>
      <c r="B492" s="2" t="s">
        <v>1961</v>
      </c>
    </row>
    <row r="493" spans="1:2">
      <c r="A493" s="3" t="s">
        <v>1108</v>
      </c>
      <c r="B493" s="2" t="s">
        <v>1961</v>
      </c>
    </row>
    <row r="494" spans="1:2">
      <c r="A494" s="3" t="s">
        <v>1112</v>
      </c>
      <c r="B494" s="2" t="s">
        <v>1961</v>
      </c>
    </row>
    <row r="495" spans="1:2">
      <c r="A495" s="3" t="s">
        <v>1128</v>
      </c>
      <c r="B495" s="2" t="s">
        <v>1961</v>
      </c>
    </row>
    <row r="496" spans="1:2">
      <c r="A496" s="3" t="s">
        <v>1133</v>
      </c>
      <c r="B496" s="2" t="s">
        <v>1961</v>
      </c>
    </row>
    <row r="497" spans="1:2">
      <c r="A497" s="3" t="s">
        <v>1145</v>
      </c>
      <c r="B497" s="2" t="s">
        <v>1961</v>
      </c>
    </row>
    <row r="498" spans="1:2">
      <c r="A498" s="3" t="s">
        <v>63</v>
      </c>
      <c r="B498" s="2" t="s">
        <v>1961</v>
      </c>
    </row>
    <row r="499" spans="1:2">
      <c r="A499" s="3" t="s">
        <v>1042</v>
      </c>
      <c r="B499" s="2" t="s">
        <v>1961</v>
      </c>
    </row>
    <row r="500" spans="1:2">
      <c r="A500" s="3" t="s">
        <v>1050</v>
      </c>
      <c r="B500" s="2" t="s">
        <v>1961</v>
      </c>
    </row>
    <row r="501" spans="1:2">
      <c r="A501" s="3" t="s">
        <v>1050</v>
      </c>
      <c r="B501" s="2" t="s">
        <v>1961</v>
      </c>
    </row>
    <row r="502" spans="1:2">
      <c r="A502" s="3" t="s">
        <v>63</v>
      </c>
      <c r="B502" s="2" t="s">
        <v>1961</v>
      </c>
    </row>
    <row r="503" spans="1:2">
      <c r="A503" s="3" t="s">
        <v>63</v>
      </c>
      <c r="B503" s="2" t="s">
        <v>1961</v>
      </c>
    </row>
    <row r="504" spans="1:2">
      <c r="A504" s="3" t="s">
        <v>1050</v>
      </c>
      <c r="B504" s="2" t="s">
        <v>1961</v>
      </c>
    </row>
    <row r="505" spans="1:2">
      <c r="A505" s="3" t="s">
        <v>1050</v>
      </c>
      <c r="B505" s="2" t="s">
        <v>1961</v>
      </c>
    </row>
    <row r="506" spans="1:2">
      <c r="A506" s="3" t="s">
        <v>1050</v>
      </c>
      <c r="B506" s="2" t="s">
        <v>1961</v>
      </c>
    </row>
    <row r="507" spans="1:2">
      <c r="A507" s="3" t="s">
        <v>1050</v>
      </c>
      <c r="B507" s="2" t="s">
        <v>1961</v>
      </c>
    </row>
    <row r="508" spans="1:2">
      <c r="A508" s="3" t="s">
        <v>1145</v>
      </c>
      <c r="B508" s="2" t="s">
        <v>1961</v>
      </c>
    </row>
    <row r="509" spans="1:2">
      <c r="A509" s="3" t="s">
        <v>63</v>
      </c>
      <c r="B509" s="2" t="s">
        <v>1961</v>
      </c>
    </row>
    <row r="510" spans="1:2">
      <c r="A510" s="3" t="s">
        <v>1222</v>
      </c>
      <c r="B510" s="2" t="s">
        <v>1961</v>
      </c>
    </row>
    <row r="511" spans="1:2">
      <c r="A511" s="3" t="s">
        <v>1230</v>
      </c>
      <c r="B511" s="2" t="s">
        <v>1961</v>
      </c>
    </row>
    <row r="512" spans="1:2">
      <c r="A512" s="3" t="s">
        <v>1276</v>
      </c>
      <c r="B512" s="2" t="s">
        <v>1961</v>
      </c>
    </row>
    <row r="513" spans="1:2">
      <c r="A513" s="3" t="s">
        <v>1050</v>
      </c>
      <c r="B513" s="2" t="s">
        <v>1961</v>
      </c>
    </row>
    <row r="514" spans="1:2">
      <c r="A514" s="3" t="s">
        <v>1042</v>
      </c>
      <c r="B514" s="2" t="s">
        <v>1961</v>
      </c>
    </row>
    <row r="515" spans="1:2">
      <c r="A515" s="3" t="s">
        <v>1042</v>
      </c>
      <c r="B515" s="2" t="s">
        <v>1961</v>
      </c>
    </row>
    <row r="516" spans="1:2">
      <c r="A516" s="3" t="s">
        <v>63</v>
      </c>
      <c r="B516" s="2" t="s">
        <v>1961</v>
      </c>
    </row>
    <row r="517" spans="1:2">
      <c r="A517" s="3" t="s">
        <v>63</v>
      </c>
      <c r="B517" s="2" t="s">
        <v>1961</v>
      </c>
    </row>
    <row r="518" spans="1:2">
      <c r="A518" s="3" t="s">
        <v>1050</v>
      </c>
      <c r="B518" s="2" t="s">
        <v>1961</v>
      </c>
    </row>
    <row r="519" spans="1:2">
      <c r="A519" s="3" t="s">
        <v>1333</v>
      </c>
      <c r="B519" s="2" t="s">
        <v>1961</v>
      </c>
    </row>
    <row r="520" spans="1:2">
      <c r="A520" s="3" t="s">
        <v>1946</v>
      </c>
      <c r="B520" s="2" t="s">
        <v>1961</v>
      </c>
    </row>
    <row r="521" spans="1:2">
      <c r="A521" s="3" t="s">
        <v>1947</v>
      </c>
      <c r="B521" s="2" t="s">
        <v>1961</v>
      </c>
    </row>
    <row r="522" spans="1:2">
      <c r="A522" s="3" t="s">
        <v>1948</v>
      </c>
      <c r="B522" s="2" t="s">
        <v>1961</v>
      </c>
    </row>
    <row r="523" spans="1:2">
      <c r="A523" s="3" t="s">
        <v>1949</v>
      </c>
      <c r="B523" s="2" t="s">
        <v>1961</v>
      </c>
    </row>
    <row r="524" spans="1:2">
      <c r="A524" s="3" t="s">
        <v>1352</v>
      </c>
      <c r="B524" s="2" t="s">
        <v>1961</v>
      </c>
    </row>
    <row r="525" spans="1:2">
      <c r="A525" s="3" t="s">
        <v>1372</v>
      </c>
      <c r="B525" s="2" t="s">
        <v>1961</v>
      </c>
    </row>
    <row r="526" spans="1:2">
      <c r="A526" s="3" t="s">
        <v>1376</v>
      </c>
      <c r="B526" s="2" t="s">
        <v>1961</v>
      </c>
    </row>
    <row r="527" spans="1:2">
      <c r="A527" s="3" t="s">
        <v>1380</v>
      </c>
      <c r="B527" s="2" t="s">
        <v>1961</v>
      </c>
    </row>
    <row r="528" spans="1:2">
      <c r="A528" s="3" t="s">
        <v>1512</v>
      </c>
      <c r="B528" s="2" t="s">
        <v>1961</v>
      </c>
    </row>
    <row r="529" spans="1:2">
      <c r="A529" s="3" t="s">
        <v>1591</v>
      </c>
      <c r="B529" s="2" t="s">
        <v>1961</v>
      </c>
    </row>
    <row r="530" spans="1:2">
      <c r="A530" s="3" t="s">
        <v>1657</v>
      </c>
      <c r="B530" s="2" t="s">
        <v>1961</v>
      </c>
    </row>
    <row r="531" spans="1:2">
      <c r="A531" s="3" t="s">
        <v>1050</v>
      </c>
      <c r="B531" s="2" t="s">
        <v>1961</v>
      </c>
    </row>
    <row r="532" spans="1:2">
      <c r="A532" s="3" t="s">
        <v>198</v>
      </c>
      <c r="B532" s="3" t="s">
        <v>1961</v>
      </c>
    </row>
    <row r="533" spans="1:2">
      <c r="A533" s="3" t="s">
        <v>1057</v>
      </c>
      <c r="B533" s="3" t="s">
        <v>1961</v>
      </c>
    </row>
    <row r="534" spans="1:2">
      <c r="A534" s="3" t="s">
        <v>1058</v>
      </c>
      <c r="B534" s="3" t="s">
        <v>1961</v>
      </c>
    </row>
    <row r="535" spans="1:2">
      <c r="A535" s="3" t="s">
        <v>919</v>
      </c>
      <c r="B535" s="2" t="s">
        <v>1962</v>
      </c>
    </row>
    <row r="536" spans="1:2">
      <c r="A536" s="3" t="s">
        <v>1141</v>
      </c>
      <c r="B536" s="2" t="s">
        <v>1962</v>
      </c>
    </row>
    <row r="537" spans="1:2">
      <c r="A537" s="3" t="s">
        <v>334</v>
      </c>
      <c r="B537" s="2" t="s">
        <v>1963</v>
      </c>
    </row>
    <row r="538" spans="1:2">
      <c r="A538" s="3" t="s">
        <v>347</v>
      </c>
      <c r="B538" s="2" t="s">
        <v>1963</v>
      </c>
    </row>
    <row r="539" spans="1:2">
      <c r="A539" s="3" t="s">
        <v>353</v>
      </c>
      <c r="B539" s="2" t="s">
        <v>1963</v>
      </c>
    </row>
    <row r="540" spans="1:2">
      <c r="A540" s="3" t="s">
        <v>357</v>
      </c>
      <c r="B540" s="2" t="s">
        <v>1963</v>
      </c>
    </row>
    <row r="541" spans="1:2">
      <c r="A541" s="3" t="s">
        <v>361</v>
      </c>
      <c r="B541" s="2" t="s">
        <v>1963</v>
      </c>
    </row>
    <row r="542" spans="1:2">
      <c r="A542" s="3" t="s">
        <v>365</v>
      </c>
      <c r="B542" s="2" t="s">
        <v>1963</v>
      </c>
    </row>
    <row r="543" spans="1:2">
      <c r="A543" s="3" t="s">
        <v>384</v>
      </c>
      <c r="B543" s="2" t="s">
        <v>1963</v>
      </c>
    </row>
    <row r="544" spans="1:2">
      <c r="A544" s="3" t="s">
        <v>388</v>
      </c>
      <c r="B544" s="2" t="s">
        <v>1963</v>
      </c>
    </row>
    <row r="545" spans="1:2">
      <c r="A545" s="3" t="s">
        <v>392</v>
      </c>
      <c r="B545" s="2" t="s">
        <v>1963</v>
      </c>
    </row>
    <row r="546" spans="1:2">
      <c r="A546" s="3" t="s">
        <v>601</v>
      </c>
      <c r="B546" s="2" t="s">
        <v>1963</v>
      </c>
    </row>
    <row r="547" spans="1:2">
      <c r="A547" s="3" t="s">
        <v>1021</v>
      </c>
      <c r="B547" s="2" t="s">
        <v>1963</v>
      </c>
    </row>
    <row r="548" spans="1:2">
      <c r="A548" s="3" t="s">
        <v>1021</v>
      </c>
      <c r="B548" s="2" t="s">
        <v>1963</v>
      </c>
    </row>
    <row r="549" spans="1:2">
      <c r="A549" s="3" t="s">
        <v>1021</v>
      </c>
      <c r="B549" s="2" t="s">
        <v>1963</v>
      </c>
    </row>
    <row r="550" spans="1:2">
      <c r="A550" s="3" t="s">
        <v>1137</v>
      </c>
      <c r="B550" s="2" t="s">
        <v>1963</v>
      </c>
    </row>
    <row r="551" spans="1:2">
      <c r="A551" s="3" t="s">
        <v>1163</v>
      </c>
      <c r="B551" s="2" t="s">
        <v>1963</v>
      </c>
    </row>
    <row r="552" spans="1:2">
      <c r="A552" s="3" t="s">
        <v>1436</v>
      </c>
      <c r="B552" s="2" t="s">
        <v>1963</v>
      </c>
    </row>
    <row r="553" spans="1:2">
      <c r="A553" s="3" t="s">
        <v>1441</v>
      </c>
      <c r="B553" s="2" t="s">
        <v>1963</v>
      </c>
    </row>
    <row r="554" spans="1:2">
      <c r="A554" s="3" t="s">
        <v>1445</v>
      </c>
      <c r="B554" s="2" t="s">
        <v>1963</v>
      </c>
    </row>
    <row r="555" spans="1:2">
      <c r="A555" s="3" t="s">
        <v>1449</v>
      </c>
      <c r="B555" s="2" t="s">
        <v>1963</v>
      </c>
    </row>
    <row r="556" spans="1:2">
      <c r="A556" s="3" t="s">
        <v>1453</v>
      </c>
      <c r="B556" s="2" t="s">
        <v>1963</v>
      </c>
    </row>
    <row r="557" spans="1:2">
      <c r="A557" s="3" t="s">
        <v>1021</v>
      </c>
      <c r="B557" s="2" t="s">
        <v>1963</v>
      </c>
    </row>
    <row r="558" spans="1:2">
      <c r="A558" s="3" t="s">
        <v>1021</v>
      </c>
      <c r="B558" s="2" t="s">
        <v>1963</v>
      </c>
    </row>
    <row r="559" spans="1:2">
      <c r="A559" s="3" t="s">
        <v>1575</v>
      </c>
      <c r="B559" s="2" t="s">
        <v>1963</v>
      </c>
    </row>
    <row r="560" spans="1:2">
      <c r="A560" s="3" t="s">
        <v>1586</v>
      </c>
      <c r="B560" s="2" t="s">
        <v>1963</v>
      </c>
    </row>
    <row r="561" spans="1:2">
      <c r="A561" s="3" t="s">
        <v>1743</v>
      </c>
      <c r="B561" s="2" t="s">
        <v>1963</v>
      </c>
    </row>
    <row r="562" spans="1:2">
      <c r="A562" s="3" t="s">
        <v>1886</v>
      </c>
      <c r="B562" s="2" t="s">
        <v>1963</v>
      </c>
    </row>
    <row r="563" spans="1:2">
      <c r="A563" s="3" t="s">
        <v>1895</v>
      </c>
      <c r="B563" s="2" t="s">
        <v>1963</v>
      </c>
    </row>
  </sheetData>
  <dataValidations count="1">
    <dataValidation type="list" allowBlank="1" showInputMessage="1" showErrorMessage="1" sqref="B509:B516 B518:B563" xr:uid="{C9BC7F79-3052-4DF7-972D-4E14F7035EE8}">
      <formula1>$E$2:$E$54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Leandro Corso</cp:lastModifiedBy>
  <dcterms:created xsi:type="dcterms:W3CDTF">2026-01-27T13:57:12Z</dcterms:created>
  <dcterms:modified xsi:type="dcterms:W3CDTF">2026-02-05T18:17:24Z</dcterms:modified>
</cp:coreProperties>
</file>